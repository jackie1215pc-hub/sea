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acki\OneDrive\デスクトップ\旅行\202604ディズニーシー\"/>
    </mc:Choice>
  </mc:AlternateContent>
  <xr:revisionPtr revIDLastSave="0" documentId="13_ncr:1_{CF0CD36F-F257-4D5E-B723-CA78BB0CA56F}" xr6:coauthVersionLast="47" xr6:coauthVersionMax="47" xr10:uidLastSave="{00000000-0000-0000-0000-000000000000}"/>
  <bookViews>
    <workbookView xWindow="-108" yWindow="-108" windowWidth="23256" windowHeight="12456" xr2:uid="{DB07692C-57B3-41B5-8BB4-63AC3BC93C11}"/>
  </bookViews>
  <sheets>
    <sheet name="一覧" sheetId="2" r:id="rId1"/>
  </sheets>
  <definedNames>
    <definedName name="_xleta.DATE" hidden="1" xlm="1">#NAME?</definedName>
    <definedName name="ExternalData_1" localSheetId="0" hidden="1">一覧!$C$1:$S$34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2" l="1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BBEF8B-F362-4962-A9DA-BF754CEADDB4}" keepAlive="1" name="クエリ - 新規 テキスト ドキュメント" description="ブック内の '新規 テキスト ドキュメント' クエリへの接続です。" type="5" refreshedVersion="8" background="1" saveData="1">
    <dbPr connection="Provider=Microsoft.Mashup.OleDb.1;Data Source=$Workbook$;Location=&quot;新規 テキスト ドキュメント&quot;;Extended Properties=&quot;&quot;" command="SELECT * FROM [新規 テキスト ドキュメント]"/>
  </connection>
  <connection id="2" xr16:uid="{38903F44-9AB2-4FD8-B3BC-3BB17B24C6DD}" keepAlive="1" name="クエリ - 新規 テキスト ドキュメント (2)" description="ブック内の '新規 テキスト ドキュメント (2)' クエリへの接続です。" type="5" refreshedVersion="0" background="1">
    <dbPr connection="Provider=Microsoft.Mashup.OleDb.1;Data Source=$Workbook$;Location=&quot;新規 テキスト ドキュメント (2)&quot;;Extended Properties=&quot;&quot;" command="SELECT * FROM [新規 テキスト ドキュメント (2)]"/>
  </connection>
</connections>
</file>

<file path=xl/sharedStrings.xml><?xml version="1.0" encoding="utf-8"?>
<sst xmlns="http://schemas.openxmlformats.org/spreadsheetml/2006/main" count="371" uniqueCount="144">
  <si>
    <t>エリア名</t>
  </si>
  <si>
    <t>アトラクション名</t>
  </si>
  <si>
    <t>形式</t>
  </si>
  <si>
    <t>所要時間</t>
  </si>
  <si>
    <t>ファンタジースプリングス</t>
  </si>
  <si>
    <t>アナとエルサのフローズンジャーニー</t>
  </si>
  <si>
    <t>ライド</t>
  </si>
  <si>
    <t>×</t>
  </si>
  <si>
    <t>○</t>
  </si>
  <si>
    <t>ラプンツェルのランタンフェスティバル</t>
  </si>
  <si>
    <t>ピーターパンのネバーランドアドベンチャー</t>
  </si>
  <si>
    <t>フェアリー・ティンカーベルのビジーバギー</t>
  </si>
  <si>
    <t>メディテレーニアンハーバー</t>
  </si>
  <si>
    <t>ヴェネツィアン・ゴンドラ</t>
  </si>
  <si>
    <t>ディズニーシー・トランジットスチーマーライン</t>
  </si>
  <si>
    <t>フォートレス・エクスプロレーション</t>
  </si>
  <si>
    <t>-</t>
  </si>
  <si>
    <t>アメリカンウォーターフロント</t>
  </si>
  <si>
    <t>タワー・オブ・テラー</t>
  </si>
  <si>
    <t>トイ・ストーリー・マニア！</t>
  </si>
  <si>
    <t>タートル・トーク</t>
  </si>
  <si>
    <t>シアター</t>
  </si>
  <si>
    <t>ディズニーシー・エレクトリックレールウェイ</t>
  </si>
  <si>
    <t>ビッグシティ・ヴィークル</t>
  </si>
  <si>
    <t>ポートディスカバリー</t>
  </si>
  <si>
    <t>ニモ＆フレンズ・シーライダー</t>
  </si>
  <si>
    <t>アクアトピア</t>
  </si>
  <si>
    <t>ロストリバーデルタ</t>
  </si>
  <si>
    <t>インディ・ジョーンズ®・アドベンチャー：クリスタルスカルの魔宮</t>
  </si>
  <si>
    <t>レイジングスピリッツ</t>
  </si>
  <si>
    <t>アラビアンコースト</t>
  </si>
  <si>
    <t>ジャスミンのフライングカーペット</t>
  </si>
  <si>
    <t>キャラバンカルーセル</t>
  </si>
  <si>
    <t>マジックランプシアター</t>
  </si>
  <si>
    <t>マーメイドラグーン</t>
  </si>
  <si>
    <t>スカットルのスクーター</t>
  </si>
  <si>
    <t>フランダーのフライングフィッシュコースター</t>
  </si>
  <si>
    <t>アリエルのプレイグラウンド</t>
  </si>
  <si>
    <t>ジャンピン・ジェリーフィッシュ</t>
  </si>
  <si>
    <t>ワールプール</t>
  </si>
  <si>
    <t>マーメイドラグーンシアター</t>
  </si>
  <si>
    <t>ミステリアスアイランド</t>
  </si>
  <si>
    <t>センター・オブ・ジ・アース</t>
  </si>
  <si>
    <t>海底2万マイル</t>
  </si>
  <si>
    <t>場所</t>
    <rPh sb="0" eb="2">
      <t>バショ</t>
    </rPh>
    <phoneticPr fontId="1"/>
  </si>
  <si>
    <t>最奥</t>
    <rPh sb="0" eb="2">
      <t>サイオク</t>
    </rPh>
    <phoneticPr fontId="1"/>
  </si>
  <si>
    <t>入口</t>
    <rPh sb="0" eb="2">
      <t>イリグチ</t>
    </rPh>
    <phoneticPr fontId="1"/>
  </si>
  <si>
    <t>左奥</t>
    <rPh sb="0" eb="2">
      <t>ヒダリオク</t>
    </rPh>
    <phoneticPr fontId="1"/>
  </si>
  <si>
    <t>奥</t>
    <rPh sb="0" eb="1">
      <t>オク</t>
    </rPh>
    <phoneticPr fontId="1"/>
  </si>
  <si>
    <t>右奥</t>
    <rPh sb="0" eb="2">
      <t>ミギオク</t>
    </rPh>
    <phoneticPr fontId="1"/>
  </si>
  <si>
    <t>真ん中</t>
    <rPh sb="0" eb="1">
      <t>マ</t>
    </rPh>
    <rPh sb="2" eb="3">
      <t>ナカ</t>
    </rPh>
    <phoneticPr fontId="1"/>
  </si>
  <si>
    <t>左手前</t>
    <rPh sb="0" eb="3">
      <t>ヒダリテマエ</t>
    </rPh>
    <phoneticPr fontId="1"/>
  </si>
  <si>
    <t>可</t>
    <rPh sb="0" eb="1">
      <t>カ</t>
    </rPh>
    <phoneticPr fontId="1"/>
  </si>
  <si>
    <t>抱っこひも</t>
    <rPh sb="0" eb="1">
      <t>ダ</t>
    </rPh>
    <phoneticPr fontId="1"/>
  </si>
  <si>
    <t>https://www.tokyodisneyresort.jp/tds/attraction/detail/256/</t>
  </si>
  <si>
    <t>https://www.tokyodisneyresort.jp/tds/attraction/detail/257/</t>
  </si>
  <si>
    <t>https://www.tokyodisneyresort.jp/tds/attraction/detail/258/</t>
  </si>
  <si>
    <t>https://www.tokyodisneyresort.jp/tds/attraction/detail/223/</t>
  </si>
  <si>
    <t>https://www.tokyodisneyresort.jp/tds/attraction/detail/224/</t>
  </si>
  <si>
    <t>https://www.tokyodisneyresort.jp/tds/attraction/detail/219/</t>
  </si>
  <si>
    <t>https://www.tokyodisneyresort.jp/tds/attraction/detail/221/</t>
  </si>
  <si>
    <t>URL</t>
    <phoneticPr fontId="1"/>
  </si>
  <si>
    <t>https://www.tokyodisneyresort.jp/tds/attraction/detail/255/</t>
    <phoneticPr fontId="1"/>
  </si>
  <si>
    <t>https://www.tokyodisneyresort.jp/tds/attraction/detail/222/</t>
    <phoneticPr fontId="1"/>
  </si>
  <si>
    <t>ソアリン：ファンタスティック・フライト</t>
    <phoneticPr fontId="1"/>
  </si>
  <si>
    <t>https://www.tokyodisneyresort.jp/tds/attraction/detail/244/</t>
  </si>
  <si>
    <t>https://www.tokyodisneyresort.jp/tds/attraction/detail/237/</t>
  </si>
  <si>
    <t>https://www.tokyodisneyresort.jp/tds/attraction/detail/202/</t>
  </si>
  <si>
    <t>https://www.tokyodisneyresort.jp/tds/attraction/detail/239/</t>
  </si>
  <si>
    <t>https://www.tokyodisneyresort.jp/tds/attraction/detail/240/</t>
  </si>
  <si>
    <t>https://www.tokyodisneyresort.jp/tds/attraction/detail/241/</t>
  </si>
  <si>
    <t>https://www.tokyodisneyresort.jp/tds/attraction/detail/230/</t>
    <phoneticPr fontId="1"/>
  </si>
  <si>
    <t>https://www.tokyodisneyresort.jp/tds/attraction/detail/227/</t>
    <phoneticPr fontId="1"/>
  </si>
  <si>
    <t>https://www.tokyodisneyresort.jp/tds/attraction/detail/243/</t>
    <phoneticPr fontId="1"/>
  </si>
  <si>
    <t>https://www.tokyodisneyresort.jp/tds/attraction/detail/218/</t>
    <phoneticPr fontId="1"/>
  </si>
  <si>
    <t>https://www.tokyodisneyresort.jp/tds/attraction/detail/246/</t>
    <phoneticPr fontId="1"/>
  </si>
  <si>
    <t>https://www.tokyodisneyresort.jp/tds/attraction/detail/231/</t>
    <phoneticPr fontId="1"/>
  </si>
  <si>
    <t>https://www.tokyodisneyresort.jp/tds/attraction/detail/228/</t>
    <phoneticPr fontId="1"/>
  </si>
  <si>
    <t>https://www.tokyodisneyresort.jp/tds/attraction/detail/233/</t>
    <phoneticPr fontId="1"/>
  </si>
  <si>
    <t>https://www.tokyodisneyresort.jp/tds/attraction/detail/247/</t>
    <phoneticPr fontId="1"/>
  </si>
  <si>
    <t>https://www.tokyodisneyresort.jp/tds/attraction/detail/234/</t>
    <phoneticPr fontId="1"/>
  </si>
  <si>
    <t>https://www.tokyodisneyresort.jp/tds/attraction/detail/232/</t>
    <phoneticPr fontId="1"/>
  </si>
  <si>
    <t>https://www.tokyodisneyresort.jp/tds/attraction/detail/242/</t>
    <phoneticPr fontId="1"/>
  </si>
  <si>
    <t>https://www.tokyodisneyresort.jp/tds/attraction/detail/220/</t>
    <phoneticPr fontId="1"/>
  </si>
  <si>
    <t>https://www.tokyodisneyresort.jp/tds/attraction/detail/236/</t>
    <phoneticPr fontId="1"/>
  </si>
  <si>
    <t>https://www.tokyodisneyresort.jp/tds/attraction/detail/226/</t>
    <phoneticPr fontId="1"/>
  </si>
  <si>
    <t>https://www.tokyodisneyresort.jp/tds/attraction/detail/238/</t>
    <phoneticPr fontId="1"/>
  </si>
  <si>
    <t>No.</t>
    <phoneticPr fontId="1"/>
  </si>
  <si>
    <t>しずく</t>
    <phoneticPr fontId="1"/>
  </si>
  <si>
    <t>すみれ</t>
    <phoneticPr fontId="1"/>
  </si>
  <si>
    <t>×</t>
    <phoneticPr fontId="1"/>
  </si>
  <si>
    <t>〇</t>
    <phoneticPr fontId="1"/>
  </si>
  <si>
    <t>ボート</t>
  </si>
  <si>
    <t>散策</t>
  </si>
  <si>
    <t>回転ライド</t>
  </si>
  <si>
    <t>ライド激しめ</t>
  </si>
  <si>
    <t>コースター</t>
  </si>
  <si>
    <t>上下ライド</t>
  </si>
  <si>
    <t>散策（謎解き）</t>
    <rPh sb="3" eb="5">
      <t>ナゾト</t>
    </rPh>
    <phoneticPr fontId="1"/>
  </si>
  <si>
    <t>フリーフォール</t>
    <phoneticPr fontId="1"/>
  </si>
  <si>
    <t>シューティング</t>
    <phoneticPr fontId="1"/>
  </si>
  <si>
    <t>船（周遊）</t>
    <rPh sb="2" eb="4">
      <t>シュウユウ</t>
    </rPh>
    <phoneticPr fontId="1"/>
  </si>
  <si>
    <t>車（周遊）</t>
    <rPh sb="2" eb="4">
      <t>シュウユウ</t>
    </rPh>
    <phoneticPr fontId="1"/>
  </si>
  <si>
    <t>モニターライド</t>
    <phoneticPr fontId="1"/>
  </si>
  <si>
    <t>入口⇔奥（船）</t>
    <rPh sb="0" eb="2">
      <t>イリグチ</t>
    </rPh>
    <rPh sb="3" eb="4">
      <t>オク</t>
    </rPh>
    <rPh sb="5" eb="6">
      <t>フネ</t>
    </rPh>
    <phoneticPr fontId="1"/>
  </si>
  <si>
    <t>左手前⇔左奥（汽車）</t>
    <rPh sb="0" eb="2">
      <t>ヒダリテ</t>
    </rPh>
    <rPh sb="2" eb="3">
      <t>マエ</t>
    </rPh>
    <rPh sb="4" eb="5">
      <t>ヒダリ</t>
    </rPh>
    <rPh sb="5" eb="6">
      <t>オク</t>
    </rPh>
    <rPh sb="7" eb="9">
      <t>キシャ</t>
    </rPh>
    <phoneticPr fontId="1"/>
  </si>
  <si>
    <t>シンドバッド・ストーリーブック・ヴォヤッジ</t>
    <phoneticPr fontId="1"/>
  </si>
  <si>
    <t>鑑賞ライド</t>
    <rPh sb="0" eb="2">
      <t>カンショウ</t>
    </rPh>
    <phoneticPr fontId="1"/>
  </si>
  <si>
    <t>メリーゴーランド</t>
    <phoneticPr fontId="1"/>
  </si>
  <si>
    <t>コースター</t>
    <phoneticPr fontId="1"/>
  </si>
  <si>
    <t>コーヒーカップ</t>
    <phoneticPr fontId="1"/>
  </si>
  <si>
    <t>ミュージカル</t>
    <phoneticPr fontId="1"/>
  </si>
  <si>
    <t>△</t>
    <phoneticPr fontId="1"/>
  </si>
  <si>
    <t>ブローフィッシュ・バルーンレース</t>
    <phoneticPr fontId="1"/>
  </si>
  <si>
    <t>室内</t>
    <rPh sb="0" eb="2">
      <t>シツナイ</t>
    </rPh>
    <phoneticPr fontId="1"/>
  </si>
  <si>
    <t>あり</t>
  </si>
  <si>
    <t>5分</t>
  </si>
  <si>
    <t>10分</t>
  </si>
  <si>
    <t>30分</t>
  </si>
  <si>
    <t>運休</t>
    <rPh sb="0" eb="2">
      <t>ウンキュウ</t>
    </rPh>
    <phoneticPr fontId="1"/>
  </si>
  <si>
    <t>https://www.tokyodisneyresort.jp/tds/attraction/detail/235/</t>
    <phoneticPr fontId="1"/>
  </si>
  <si>
    <t>★</t>
    <phoneticPr fontId="1"/>
  </si>
  <si>
    <t>102cm</t>
  </si>
  <si>
    <t>90cm</t>
  </si>
  <si>
    <t>117cm</t>
  </si>
  <si>
    <t>身長</t>
    <phoneticPr fontId="1"/>
  </si>
  <si>
    <t>火山</t>
    <rPh sb="0" eb="2">
      <t>カザン</t>
    </rPh>
    <phoneticPr fontId="1"/>
  </si>
  <si>
    <t>ﾌﾟﾗｲｵﾘﾃｨﾊﾟｽ</t>
    <phoneticPr fontId="1"/>
  </si>
  <si>
    <t>待ち時間</t>
    <rPh sb="0" eb="1">
      <t>マ</t>
    </rPh>
    <rPh sb="2" eb="4">
      <t>ジカン</t>
    </rPh>
    <phoneticPr fontId="1"/>
  </si>
  <si>
    <t>11分30秒</t>
  </si>
  <si>
    <t>7分</t>
  </si>
  <si>
    <t>2分</t>
  </si>
  <si>
    <t>2分30秒</t>
  </si>
  <si>
    <t>13分</t>
  </si>
  <si>
    <t>3分</t>
  </si>
  <si>
    <t>1分30秒</t>
  </si>
  <si>
    <t>6分</t>
  </si>
  <si>
    <t>23分</t>
  </si>
  <si>
    <t>1分</t>
  </si>
  <si>
    <t>14分</t>
  </si>
  <si>
    <t>6分30秒</t>
  </si>
  <si>
    <t>膝上</t>
    <rPh sb="0" eb="2">
      <t>ヒザウエ</t>
    </rPh>
    <phoneticPr fontId="1"/>
  </si>
  <si>
    <t>乗れない</t>
    <rPh sb="0" eb="1">
      <t>ノ</t>
    </rPh>
    <phoneticPr fontId="1"/>
  </si>
  <si>
    <t>待ち時間2</t>
    <rPh sb="0" eb="1">
      <t>マジカン2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</si>
</sst>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分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BIZ UDゴシック"/>
      <family val="3"/>
      <charset val="128"/>
    </font>
    <font>
      <u/>
      <sz val="11"/>
      <color theme="10"/>
      <name val="BIZ UD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1" applyNumberFormat="1" applyFont="1">
      <alignment vertical="center"/>
    </xf>
    <xf numFmtId="176" fontId="3" fillId="0" borderId="0" xfId="0" applyNumberFormat="1" applyFont="1">
      <alignment vertical="center"/>
    </xf>
    <xf numFmtId="0" fontId="3" fillId="0" borderId="0" xfId="0" applyFont="1" applyAlignment="1">
      <alignment vertical="center" shrinkToFit="1"/>
    </xf>
    <xf numFmtId="0" fontId="0" fillId="0" borderId="0" xfId="0" applyAlignment="1">
      <alignment horizontal="center" vertical="center"/>
    </xf>
    <xf numFmtId="0" fontId="2" fillId="0" borderId="0" xfId="1">
      <alignment vertical="center"/>
    </xf>
    <xf numFmtId="176" fontId="2" fillId="0" borderId="0" xfId="1" applyNumberFormat="1">
      <alignment vertical="center"/>
    </xf>
  </cellXfs>
  <cellStyles count="2">
    <cellStyle name="ハイパーリンク" xfId="1" builtinId="8"/>
    <cellStyle name="標準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  <numFmt numFmtId="176" formatCode="0&quot;分&quot;"/>
    </dxf>
    <dxf>
      <fill>
        <patternFill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176" formatCode="0&quot;分&quot;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  <numFmt numFmtId="0" formatCode="General"/>
    </dxf>
    <dxf>
      <font>
        <strike val="0"/>
        <outline val="0"/>
        <shadow val="0"/>
        <vertAlign val="baseline"/>
        <sz val="11"/>
        <name val="BIZ UDゴシック"/>
        <family val="3"/>
        <charset val="128"/>
        <scheme val="none"/>
      </font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2208523-D179-44DE-9EE4-003A85DBBCF8}" autoFormatId="20" applyNumberFormats="0" applyBorderFormats="0" applyFontFormats="0" applyPatternFormats="0" applyAlignmentFormats="0" applyWidthHeightFormats="0">
  <queryTableRefresh nextId="31" unboundColumnsLeft="2">
    <queryTableFields count="19">
      <queryTableField id="15" dataBound="0" tableColumnId="15"/>
      <queryTableField id="28" dataBound="0" tableColumnId="21"/>
      <queryTableField id="2" name="Column2" tableColumnId="2"/>
      <queryTableField id="12" dataBound="0" tableColumnId="12"/>
      <queryTableField id="1" name="Column1" tableColumnId="1"/>
      <queryTableField id="8" dataBound="0" tableColumnId="8"/>
      <queryTableField id="3" name="Column3" tableColumnId="3"/>
      <queryTableField id="27" dataBound="0" tableColumnId="20"/>
      <queryTableField id="9" dataBound="0" tableColumnId="9"/>
      <queryTableField id="20" dataBound="0" tableColumnId="16"/>
      <queryTableField id="11" dataBound="0" tableColumnId="11"/>
      <queryTableField id="10" dataBound="0" tableColumnId="10"/>
      <queryTableField id="5" name="Column5" tableColumnId="5"/>
      <queryTableField id="22" dataBound="0" tableColumnId="17"/>
      <queryTableField id="6" name="Column6" tableColumnId="6"/>
      <queryTableField id="29" dataBound="0" tableColumnId="4"/>
      <queryTableField id="25" dataBound="0" tableColumnId="18"/>
      <queryTableField id="30" dataBound="0" tableColumnId="13"/>
      <queryTableField id="7" name="Column7" tableColumnId="7"/>
    </queryTableFields>
    <queryTableDeletedFields count="1">
      <deletedField name="Column4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E79466-4BE8-4E57-BBF9-3B2AF5A16085}" name="新規_テキスト_ドキュメント" displayName="新規_テキスト_ドキュメント" ref="A1:S34" tableType="queryTable" totalsRowShown="0" headerRowDxfId="21" dataDxfId="20">
  <autoFilter ref="A1:S34" xr:uid="{2EE79466-4BE8-4E57-BBF9-3B2AF5A16085}"/>
  <sortState xmlns:xlrd2="http://schemas.microsoft.com/office/spreadsheetml/2017/richdata2" ref="A2:S34">
    <sortCondition ref="A1:A34"/>
  </sortState>
  <tableColumns count="19">
    <tableColumn id="15" xr3:uid="{314514AF-17CF-4D55-B2C1-76180EA21963}" uniqueName="15" name="No." queryTableFieldId="15" dataDxfId="19"/>
    <tableColumn id="21" xr3:uid="{84BAAD17-4275-45D1-91FF-449EC8F3923E}" uniqueName="21" name="★" queryTableFieldId="28" dataDxfId="18"/>
    <tableColumn id="2" xr3:uid="{56C1A409-F49B-452C-B46D-F49F711013A9}" uniqueName="2" name="アトラクション名" queryTableFieldId="2" dataDxfId="17" dataCellStyle="ハイパーリンク"/>
    <tableColumn id="12" xr3:uid="{CD9C52E7-044C-436B-A761-D1D971EFC056}" uniqueName="12" name="URL" queryTableFieldId="12" dataDxfId="16" dataCellStyle="ハイパーリンク"/>
    <tableColumn id="1" xr3:uid="{F4C9A4FF-4E7E-4C04-9F04-FC30AFC11F52}" uniqueName="1" name="エリア名" queryTableFieldId="1" dataDxfId="15"/>
    <tableColumn id="8" xr3:uid="{0D80EE00-61A5-43BE-BB96-C6D215A9856F}" uniqueName="8" name="場所" queryTableFieldId="8" dataDxfId="14"/>
    <tableColumn id="3" xr3:uid="{11E4B62B-791B-425D-AD64-D086E9E9EC54}" uniqueName="3" name="形式" queryTableFieldId="3" dataDxfId="13"/>
    <tableColumn id="20" xr3:uid="{743A0D4F-DBA6-4C6C-9814-0902A3C1609F}" uniqueName="20" name="運休" queryTableFieldId="27" dataDxfId="12"/>
    <tableColumn id="9" xr3:uid="{31C8F204-18AF-410B-9503-2E4720A61A23}" uniqueName="9" name="すみれ" queryTableFieldId="9" dataDxfId="11"/>
    <tableColumn id="16" xr3:uid="{F8052BC3-4E1A-450B-8682-230CB69FC719}" uniqueName="16" name="しずく" queryTableFieldId="20" dataDxfId="10"/>
    <tableColumn id="11" xr3:uid="{AEE0751C-91AC-4897-971B-3BFF7F95B40E}" uniqueName="11" name="抱っこひも" queryTableFieldId="11" dataDxfId="9"/>
    <tableColumn id="10" xr3:uid="{BCC55E4F-EE3E-486C-8BFB-34F2053FAFA9}" uniqueName="10" name="膝上" queryTableFieldId="10" dataDxfId="8"/>
    <tableColumn id="5" xr3:uid="{5A46DC91-520E-47FD-A907-661822D33C7D}" uniqueName="5" name="身長" queryTableFieldId="5" dataDxfId="7"/>
    <tableColumn id="17" xr3:uid="{6F3F2BA9-A2A7-44D9-B20A-0E12D1BE6611}" uniqueName="17" name="ﾌﾟﾗｲｵﾘﾃｨﾊﾟｽ" queryTableFieldId="22" dataDxfId="6"/>
    <tableColumn id="6" xr3:uid="{DE8D582D-7DEA-47CB-B278-3CD57170E65F}" uniqueName="6" name="室内" queryTableFieldId="6" dataDxfId="5"/>
    <tableColumn id="4" xr3:uid="{2C5B1FB5-2865-49D9-9A23-6A1D3EE8EC2B}" uniqueName="4" name="乗れない" queryTableFieldId="29" dataDxfId="2">
      <calculatedColumnFormula>OR($H2="運休",$I2="×")</calculatedColumnFormula>
    </tableColumn>
    <tableColumn id="18" xr3:uid="{42575B1F-227B-479F-B0F7-210E3792837C}" uniqueName="18" name="待ち時間" queryTableFieldId="25" dataDxfId="4"/>
    <tableColumn id="13" xr3:uid="{1E89CE2E-A251-47C9-A7A1-3E021A75CBFB}" uniqueName="13" name="待ち時間2" queryTableFieldId="30" dataDxfId="0">
      <calculatedColumnFormula>"https://www.temapa.jp/park/tdr/facility/"&amp;RIGHT(新規_テキスト_ドキュメント[[#This Row],[URL]],4)&amp;"?day="&amp;TEXT(TODAY(),"yyyymmdd")</calculatedColumnFormula>
    </tableColumn>
    <tableColumn id="7" xr3:uid="{3CE5D867-4A48-4D9B-9497-BCAF9C88743E}" uniqueName="7" name="所要時間" queryTableFieldId="7" dataDxfId="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tokyodisneyresort.jp/tds/attraction/detail/218/" TargetMode="External"/><Relationship Id="rId21" Type="http://schemas.openxmlformats.org/officeDocument/2006/relationships/hyperlink" Target="https://www.tokyodisneyresort.jp/tds/attraction/detail/230/" TargetMode="External"/><Relationship Id="rId42" Type="http://schemas.openxmlformats.org/officeDocument/2006/relationships/hyperlink" Target="https://www.tokyodisneyresort.jp/tds/attraction/detail/237/" TargetMode="External"/><Relationship Id="rId47" Type="http://schemas.openxmlformats.org/officeDocument/2006/relationships/hyperlink" Target="https://www.tokyodisneyresort.jp/tds/attraction/detail/221/" TargetMode="External"/><Relationship Id="rId63" Type="http://schemas.openxmlformats.org/officeDocument/2006/relationships/hyperlink" Target="https://www.temapa.jp/park/tdr/facility/233/?day=20260420" TargetMode="External"/><Relationship Id="rId68" Type="http://schemas.openxmlformats.org/officeDocument/2006/relationships/hyperlink" Target="https://www.temapa.jp/park/tdr/facility/242/?day=20260420" TargetMode="External"/><Relationship Id="rId84" Type="http://schemas.openxmlformats.org/officeDocument/2006/relationships/hyperlink" Target="https://www.temapa.jp/park/tdr/facility/256/?day=20260420" TargetMode="External"/><Relationship Id="rId16" Type="http://schemas.openxmlformats.org/officeDocument/2006/relationships/hyperlink" Target="https://www.tokyodisneyresort.jp/tds/attraction/detail/235/" TargetMode="External"/><Relationship Id="rId11" Type="http://schemas.openxmlformats.org/officeDocument/2006/relationships/hyperlink" Target="https://www.tokyodisneyresort.jp/tds/attraction/detail/234/" TargetMode="External"/><Relationship Id="rId32" Type="http://schemas.openxmlformats.org/officeDocument/2006/relationships/hyperlink" Target="https://www.tokyodisneyresort.jp/tds/attraction/detail/247/" TargetMode="External"/><Relationship Id="rId37" Type="http://schemas.openxmlformats.org/officeDocument/2006/relationships/hyperlink" Target="https://www.tokyodisneyresort.jp/tds/attraction/detail/235/" TargetMode="External"/><Relationship Id="rId53" Type="http://schemas.openxmlformats.org/officeDocument/2006/relationships/hyperlink" Target="https://www.tokyodisneyresort.jp/tds/attraction/detail/258/" TargetMode="External"/><Relationship Id="rId58" Type="http://schemas.openxmlformats.org/officeDocument/2006/relationships/hyperlink" Target="https://www.temapa.jp/park/tdr/facility/243/?day=20260420" TargetMode="External"/><Relationship Id="rId74" Type="http://schemas.openxmlformats.org/officeDocument/2006/relationships/hyperlink" Target="https://www.temapa.jp/park/tdr/facility/238/?day=20260420" TargetMode="External"/><Relationship Id="rId79" Type="http://schemas.openxmlformats.org/officeDocument/2006/relationships/hyperlink" Target="https://www.temapa.jp/park/tdr/facility/241/?day=20260420" TargetMode="External"/><Relationship Id="rId5" Type="http://schemas.openxmlformats.org/officeDocument/2006/relationships/hyperlink" Target="https://www.tokyodisneyresort.jp/tds/attraction/detail/218/" TargetMode="External"/><Relationship Id="rId19" Type="http://schemas.openxmlformats.org/officeDocument/2006/relationships/hyperlink" Target="https://www.tokyodisneyresort.jp/tds/attraction/detail/226/" TargetMode="External"/><Relationship Id="rId14" Type="http://schemas.openxmlformats.org/officeDocument/2006/relationships/hyperlink" Target="https://www.tokyodisneyresort.jp/tds/attraction/detail/242/" TargetMode="External"/><Relationship Id="rId22" Type="http://schemas.openxmlformats.org/officeDocument/2006/relationships/hyperlink" Target="https://www.tokyodisneyresort.jp/tds/attraction/detail/227/" TargetMode="External"/><Relationship Id="rId27" Type="http://schemas.openxmlformats.org/officeDocument/2006/relationships/hyperlink" Target="https://www.tokyodisneyresort.jp/tds/attraction/detail/246/" TargetMode="External"/><Relationship Id="rId30" Type="http://schemas.openxmlformats.org/officeDocument/2006/relationships/hyperlink" Target="https://www.tokyodisneyresort.jp/tds/attraction/detail/233/" TargetMode="External"/><Relationship Id="rId35" Type="http://schemas.openxmlformats.org/officeDocument/2006/relationships/hyperlink" Target="https://www.tokyodisneyresort.jp/tds/attraction/detail/242/" TargetMode="External"/><Relationship Id="rId43" Type="http://schemas.openxmlformats.org/officeDocument/2006/relationships/hyperlink" Target="https://www.tokyodisneyresort.jp/tds/attraction/detail/202/" TargetMode="External"/><Relationship Id="rId48" Type="http://schemas.openxmlformats.org/officeDocument/2006/relationships/hyperlink" Target="https://www.tokyodisneyresort.jp/tds/attraction/detail/223/" TargetMode="External"/><Relationship Id="rId56" Type="http://schemas.openxmlformats.org/officeDocument/2006/relationships/hyperlink" Target="https://www.temapa.jp/park/tdr/facility/244/?day=20260420" TargetMode="External"/><Relationship Id="rId64" Type="http://schemas.openxmlformats.org/officeDocument/2006/relationships/hyperlink" Target="https://www.temapa.jp/park/tdr/facility/234/?day=20260420" TargetMode="External"/><Relationship Id="rId69" Type="http://schemas.openxmlformats.org/officeDocument/2006/relationships/hyperlink" Target="https://www.temapa.jp/park/tdr/facility/228/?day=20260420" TargetMode="External"/><Relationship Id="rId77" Type="http://schemas.openxmlformats.org/officeDocument/2006/relationships/hyperlink" Target="https://www.temapa.jp/park/tdr/facility/239/?day=20260420" TargetMode="External"/><Relationship Id="rId8" Type="http://schemas.openxmlformats.org/officeDocument/2006/relationships/hyperlink" Target="https://www.tokyodisneyresort.jp/tds/attraction/detail/228/" TargetMode="External"/><Relationship Id="rId51" Type="http://schemas.openxmlformats.org/officeDocument/2006/relationships/hyperlink" Target="https://www.tokyodisneyresort.jp/tds/attraction/detail/256/" TargetMode="External"/><Relationship Id="rId72" Type="http://schemas.openxmlformats.org/officeDocument/2006/relationships/hyperlink" Target="https://www.temapa.jp/park/tdr/facility/236/?day=20260420" TargetMode="External"/><Relationship Id="rId80" Type="http://schemas.openxmlformats.org/officeDocument/2006/relationships/hyperlink" Target="https://www.temapa.jp/park/tdr/facility/221/?day=20260420" TargetMode="External"/><Relationship Id="rId85" Type="http://schemas.openxmlformats.org/officeDocument/2006/relationships/hyperlink" Target="https://www.temapa.jp/park/tdr/facility/257/?day=20260420" TargetMode="External"/><Relationship Id="rId3" Type="http://schemas.openxmlformats.org/officeDocument/2006/relationships/hyperlink" Target="https://www.tokyodisneyresort.jp/tds/attraction/detail/227/" TargetMode="External"/><Relationship Id="rId12" Type="http://schemas.openxmlformats.org/officeDocument/2006/relationships/hyperlink" Target="https://www.tokyodisneyresort.jp/tds/attraction/detail/232/" TargetMode="External"/><Relationship Id="rId17" Type="http://schemas.openxmlformats.org/officeDocument/2006/relationships/hyperlink" Target="https://www.tokyodisneyresort.jp/tds/attraction/detail/220/" TargetMode="External"/><Relationship Id="rId25" Type="http://schemas.openxmlformats.org/officeDocument/2006/relationships/hyperlink" Target="https://www.tokyodisneyresort.jp/tds/attraction/detail/243/" TargetMode="External"/><Relationship Id="rId33" Type="http://schemas.openxmlformats.org/officeDocument/2006/relationships/hyperlink" Target="https://www.tokyodisneyresort.jp/tds/attraction/detail/232/" TargetMode="External"/><Relationship Id="rId38" Type="http://schemas.openxmlformats.org/officeDocument/2006/relationships/hyperlink" Target="https://www.tokyodisneyresort.jp/tds/attraction/detail/220/" TargetMode="External"/><Relationship Id="rId46" Type="http://schemas.openxmlformats.org/officeDocument/2006/relationships/hyperlink" Target="https://www.tokyodisneyresort.jp/tds/attraction/detail/241/" TargetMode="External"/><Relationship Id="rId59" Type="http://schemas.openxmlformats.org/officeDocument/2006/relationships/hyperlink" Target="https://www.temapa.jp/park/tdr/facility/218/?day=20260420" TargetMode="External"/><Relationship Id="rId67" Type="http://schemas.openxmlformats.org/officeDocument/2006/relationships/hyperlink" Target="https://www.temapa.jp/park/tdr/facility/222/?day=20260420" TargetMode="External"/><Relationship Id="rId20" Type="http://schemas.openxmlformats.org/officeDocument/2006/relationships/hyperlink" Target="https://www.tokyodisneyresort.jp/tds/attraction/detail/238/" TargetMode="External"/><Relationship Id="rId41" Type="http://schemas.openxmlformats.org/officeDocument/2006/relationships/hyperlink" Target="https://www.tokyodisneyresort.jp/tds/attraction/detail/238/" TargetMode="External"/><Relationship Id="rId54" Type="http://schemas.openxmlformats.org/officeDocument/2006/relationships/hyperlink" Target="https://www.temapa.jp/park/tdr/facility/230/?day=20260420" TargetMode="External"/><Relationship Id="rId62" Type="http://schemas.openxmlformats.org/officeDocument/2006/relationships/hyperlink" Target="https://www.temapa.jp/park/tdr/facility/228/?day=20260420" TargetMode="External"/><Relationship Id="rId70" Type="http://schemas.openxmlformats.org/officeDocument/2006/relationships/hyperlink" Target="https://www.temapa.jp/park/tdr/facility/235/?day=20260420" TargetMode="External"/><Relationship Id="rId75" Type="http://schemas.openxmlformats.org/officeDocument/2006/relationships/hyperlink" Target="https://www.temapa.jp/park/tdr/facility/237/?day=20260420" TargetMode="External"/><Relationship Id="rId83" Type="http://schemas.openxmlformats.org/officeDocument/2006/relationships/hyperlink" Target="https://www.temapa.jp/park/tdr/facility/255/?day=20260420" TargetMode="External"/><Relationship Id="rId1" Type="http://schemas.openxmlformats.org/officeDocument/2006/relationships/hyperlink" Target="https://www.tokyodisneyresort.jp/tds/attraction/detail/255/" TargetMode="External"/><Relationship Id="rId6" Type="http://schemas.openxmlformats.org/officeDocument/2006/relationships/hyperlink" Target="https://www.tokyodisneyresort.jp/tds/attraction/detail/246/" TargetMode="External"/><Relationship Id="rId15" Type="http://schemas.openxmlformats.org/officeDocument/2006/relationships/hyperlink" Target="https://www.tokyodisneyresort.jp/tds/attraction/detail/228/" TargetMode="External"/><Relationship Id="rId23" Type="http://schemas.openxmlformats.org/officeDocument/2006/relationships/hyperlink" Target="https://www.tokyodisneyresort.jp/tds/attraction/detail/244/" TargetMode="External"/><Relationship Id="rId28" Type="http://schemas.openxmlformats.org/officeDocument/2006/relationships/hyperlink" Target="https://www.tokyodisneyresort.jp/tds/attraction/detail/231/" TargetMode="External"/><Relationship Id="rId36" Type="http://schemas.openxmlformats.org/officeDocument/2006/relationships/hyperlink" Target="https://www.tokyodisneyresort.jp/tds/attraction/detail/228/" TargetMode="External"/><Relationship Id="rId49" Type="http://schemas.openxmlformats.org/officeDocument/2006/relationships/hyperlink" Target="https://www.tokyodisneyresort.jp/tds/attraction/detail/224/" TargetMode="External"/><Relationship Id="rId57" Type="http://schemas.openxmlformats.org/officeDocument/2006/relationships/hyperlink" Target="https://www.temapa.jp/park/tdr/facility/219/?day=20260420" TargetMode="External"/><Relationship Id="rId10" Type="http://schemas.openxmlformats.org/officeDocument/2006/relationships/hyperlink" Target="https://www.tokyodisneyresort.jp/tds/attraction/detail/247/" TargetMode="External"/><Relationship Id="rId31" Type="http://schemas.openxmlformats.org/officeDocument/2006/relationships/hyperlink" Target="https://www.tokyodisneyresort.jp/tds/attraction/detail/234/" TargetMode="External"/><Relationship Id="rId44" Type="http://schemas.openxmlformats.org/officeDocument/2006/relationships/hyperlink" Target="https://www.tokyodisneyresort.jp/tds/attraction/detail/239/" TargetMode="External"/><Relationship Id="rId52" Type="http://schemas.openxmlformats.org/officeDocument/2006/relationships/hyperlink" Target="https://www.tokyodisneyresort.jp/tds/attraction/detail/257/" TargetMode="External"/><Relationship Id="rId60" Type="http://schemas.openxmlformats.org/officeDocument/2006/relationships/hyperlink" Target="https://www.temapa.jp/park/tdr/facility/246/?day=20260420" TargetMode="External"/><Relationship Id="rId65" Type="http://schemas.openxmlformats.org/officeDocument/2006/relationships/hyperlink" Target="https://www.temapa.jp/park/tdr/facility/247/?day=20260420" TargetMode="External"/><Relationship Id="rId73" Type="http://schemas.openxmlformats.org/officeDocument/2006/relationships/hyperlink" Target="https://www.temapa.jp/park/tdr/facility/226/?day=20260420" TargetMode="External"/><Relationship Id="rId78" Type="http://schemas.openxmlformats.org/officeDocument/2006/relationships/hyperlink" Target="https://www.temapa.jp/park/tdr/facility/240/?day=20260420" TargetMode="External"/><Relationship Id="rId81" Type="http://schemas.openxmlformats.org/officeDocument/2006/relationships/hyperlink" Target="https://www.temapa.jp/park/tdr/facility/223/?day=20260420" TargetMode="External"/><Relationship Id="rId86" Type="http://schemas.openxmlformats.org/officeDocument/2006/relationships/hyperlink" Target="https://www.temapa.jp/park/tdr/facility/258/?day=20260420" TargetMode="External"/><Relationship Id="rId4" Type="http://schemas.openxmlformats.org/officeDocument/2006/relationships/hyperlink" Target="https://www.tokyodisneyresort.jp/tds/attraction/detail/243/" TargetMode="External"/><Relationship Id="rId9" Type="http://schemas.openxmlformats.org/officeDocument/2006/relationships/hyperlink" Target="https://www.tokyodisneyresort.jp/tds/attraction/detail/233/" TargetMode="External"/><Relationship Id="rId13" Type="http://schemas.openxmlformats.org/officeDocument/2006/relationships/hyperlink" Target="https://www.tokyodisneyresort.jp/tds/attraction/detail/222/" TargetMode="External"/><Relationship Id="rId18" Type="http://schemas.openxmlformats.org/officeDocument/2006/relationships/hyperlink" Target="https://www.tokyodisneyresort.jp/tds/attraction/detail/236/" TargetMode="External"/><Relationship Id="rId39" Type="http://schemas.openxmlformats.org/officeDocument/2006/relationships/hyperlink" Target="https://www.tokyodisneyresort.jp/tds/attraction/detail/236/" TargetMode="External"/><Relationship Id="rId34" Type="http://schemas.openxmlformats.org/officeDocument/2006/relationships/hyperlink" Target="https://www.tokyodisneyresort.jp/tds/attraction/detail/222/" TargetMode="External"/><Relationship Id="rId50" Type="http://schemas.openxmlformats.org/officeDocument/2006/relationships/hyperlink" Target="https://www.tokyodisneyresort.jp/tds/attraction/detail/255/" TargetMode="External"/><Relationship Id="rId55" Type="http://schemas.openxmlformats.org/officeDocument/2006/relationships/hyperlink" Target="https://www.temapa.jp/park/tdr/facility/227/?day=20260420" TargetMode="External"/><Relationship Id="rId76" Type="http://schemas.openxmlformats.org/officeDocument/2006/relationships/hyperlink" Target="https://www.temapa.jp/park/tdr/facility/202/?day=20260420" TargetMode="External"/><Relationship Id="rId7" Type="http://schemas.openxmlformats.org/officeDocument/2006/relationships/hyperlink" Target="https://www.tokyodisneyresort.jp/tds/attraction/detail/231/" TargetMode="External"/><Relationship Id="rId71" Type="http://schemas.openxmlformats.org/officeDocument/2006/relationships/hyperlink" Target="https://www.temapa.jp/park/tdr/facility/220/?day=20260420" TargetMode="External"/><Relationship Id="rId2" Type="http://schemas.openxmlformats.org/officeDocument/2006/relationships/hyperlink" Target="https://www.tokyodisneyresort.jp/tds/attraction/detail/230/" TargetMode="External"/><Relationship Id="rId29" Type="http://schemas.openxmlformats.org/officeDocument/2006/relationships/hyperlink" Target="https://www.tokyodisneyresort.jp/tds/attraction/detail/228/" TargetMode="External"/><Relationship Id="rId24" Type="http://schemas.openxmlformats.org/officeDocument/2006/relationships/hyperlink" Target="https://www.tokyodisneyresort.jp/tds/attraction/detail/219/" TargetMode="External"/><Relationship Id="rId40" Type="http://schemas.openxmlformats.org/officeDocument/2006/relationships/hyperlink" Target="https://www.tokyodisneyresort.jp/tds/attraction/detail/226/" TargetMode="External"/><Relationship Id="rId45" Type="http://schemas.openxmlformats.org/officeDocument/2006/relationships/hyperlink" Target="https://www.tokyodisneyresort.jp/tds/attraction/detail/240/" TargetMode="External"/><Relationship Id="rId66" Type="http://schemas.openxmlformats.org/officeDocument/2006/relationships/hyperlink" Target="https://www.temapa.jp/park/tdr/facility/232/?day=20260420" TargetMode="External"/><Relationship Id="rId87" Type="http://schemas.openxmlformats.org/officeDocument/2006/relationships/table" Target="../tables/table1.xml"/><Relationship Id="rId61" Type="http://schemas.openxmlformats.org/officeDocument/2006/relationships/hyperlink" Target="https://www.temapa.jp/park/tdr/facility/231/?day=20260420" TargetMode="External"/><Relationship Id="rId82" Type="http://schemas.openxmlformats.org/officeDocument/2006/relationships/hyperlink" Target="https://www.temapa.jp/park/tdr/facility/224/?day=2026042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96DCB-B969-498D-AD12-E6F4D8A1C763}">
  <sheetPr codeName="Sheet1"/>
  <dimension ref="A1:S34"/>
  <sheetViews>
    <sheetView tabSelected="1" topLeftCell="B7" zoomScale="70" zoomScaleNormal="70" workbookViewId="0">
      <selection activeCell="Q33" sqref="Q33"/>
    </sheetView>
  </sheetViews>
  <sheetFormatPr defaultRowHeight="18" x14ac:dyDescent="0.45"/>
  <cols>
    <col min="1" max="1" width="4.59765625" customWidth="1"/>
    <col min="2" max="2" width="3.5" customWidth="1"/>
    <col min="3" max="3" width="45.3984375" customWidth="1"/>
    <col min="4" max="4" width="59.5" customWidth="1"/>
    <col min="5" max="5" width="18.8984375" customWidth="1"/>
    <col min="6" max="6" width="8.19921875" bestFit="1" customWidth="1"/>
    <col min="7" max="7" width="21.5" customWidth="1"/>
    <col min="8" max="8" width="5.796875" customWidth="1"/>
    <col min="9" max="13" width="8.296875" customWidth="1"/>
    <col min="14" max="14" width="11.796875" customWidth="1"/>
    <col min="15" max="15" width="8.19921875" bestFit="1" customWidth="1"/>
    <col min="16" max="16" width="8.19921875" hidden="1" customWidth="1"/>
    <col min="17" max="17" width="12" customWidth="1"/>
    <col min="18" max="18" width="64.69921875" bestFit="1" customWidth="1"/>
    <col min="19" max="19" width="11.69921875" customWidth="1"/>
    <col min="20" max="20" width="16.296875" customWidth="1"/>
    <col min="21" max="21" width="4.3984375" customWidth="1"/>
    <col min="22" max="22" width="16.296875" customWidth="1"/>
    <col min="23" max="23" width="23.19921875" bestFit="1" customWidth="1"/>
    <col min="24" max="24" width="16.296875" bestFit="1" customWidth="1"/>
    <col min="25" max="25" width="11.09765625" bestFit="1" customWidth="1"/>
  </cols>
  <sheetData>
    <row r="1" spans="1:19" x14ac:dyDescent="0.45">
      <c r="A1" s="5" t="s">
        <v>87</v>
      </c>
      <c r="B1" s="5" t="s">
        <v>121</v>
      </c>
      <c r="C1" s="5" t="s">
        <v>1</v>
      </c>
      <c r="D1" s="5" t="s">
        <v>61</v>
      </c>
      <c r="E1" s="5" t="s">
        <v>0</v>
      </c>
      <c r="F1" s="5" t="s">
        <v>44</v>
      </c>
      <c r="G1" s="5" t="s">
        <v>2</v>
      </c>
      <c r="H1" s="5" t="s">
        <v>119</v>
      </c>
      <c r="I1" s="5" t="s">
        <v>89</v>
      </c>
      <c r="J1" s="5" t="s">
        <v>88</v>
      </c>
      <c r="K1" s="5" t="s">
        <v>53</v>
      </c>
      <c r="L1" s="5" t="s">
        <v>141</v>
      </c>
      <c r="M1" s="5" t="s">
        <v>125</v>
      </c>
      <c r="N1" s="5" t="s">
        <v>127</v>
      </c>
      <c r="O1" s="5" t="s">
        <v>114</v>
      </c>
      <c r="P1" s="5" t="s">
        <v>142</v>
      </c>
      <c r="Q1" s="5" t="s">
        <v>128</v>
      </c>
      <c r="R1" s="5" t="s">
        <v>143</v>
      </c>
      <c r="S1" s="5" t="s">
        <v>3</v>
      </c>
    </row>
    <row r="2" spans="1:19" x14ac:dyDescent="0.45">
      <c r="A2" s="1">
        <v>1</v>
      </c>
      <c r="B2" s="1"/>
      <c r="C2" s="6" t="s">
        <v>13</v>
      </c>
      <c r="D2" s="2" t="s">
        <v>71</v>
      </c>
      <c r="E2" s="4" t="s">
        <v>12</v>
      </c>
      <c r="F2" s="1" t="s">
        <v>46</v>
      </c>
      <c r="G2" s="1" t="s">
        <v>92</v>
      </c>
      <c r="H2" s="1"/>
      <c r="I2" s="1" t="s">
        <v>91</v>
      </c>
      <c r="J2" s="1" t="s">
        <v>91</v>
      </c>
      <c r="K2" s="1" t="s">
        <v>52</v>
      </c>
      <c r="L2" s="1" t="s">
        <v>52</v>
      </c>
      <c r="M2" s="1"/>
      <c r="N2" s="1"/>
      <c r="O2" s="1" t="s">
        <v>7</v>
      </c>
      <c r="P2" s="1" t="b">
        <f t="shared" ref="P2:P34" si="0">OR($H2="運休",$I2="×")</f>
        <v>0</v>
      </c>
      <c r="Q2" s="7">
        <v>5</v>
      </c>
      <c r="R2" s="3" t="str">
        <f ca="1">"https://www.temapa.jp/park/tdr/facility/"&amp;RIGHT(新規_テキスト_ドキュメント[[#This Row],[URL]],4)&amp;"?day="&amp;TEXT(TODAY(),"yyyymmdd")</f>
        <v>https://www.temapa.jp/park/tdr/facility/230/?day=20260420</v>
      </c>
      <c r="S2" s="1" t="s">
        <v>129</v>
      </c>
    </row>
    <row r="3" spans="1:19" x14ac:dyDescent="0.45">
      <c r="A3" s="1">
        <v>2</v>
      </c>
      <c r="B3" s="1"/>
      <c r="C3" s="6" t="s">
        <v>14</v>
      </c>
      <c r="D3" s="2" t="s">
        <v>72</v>
      </c>
      <c r="E3" s="4" t="s">
        <v>12</v>
      </c>
      <c r="F3" s="1" t="s">
        <v>46</v>
      </c>
      <c r="G3" s="1" t="s">
        <v>104</v>
      </c>
      <c r="H3" s="1"/>
      <c r="I3" s="1" t="s">
        <v>91</v>
      </c>
      <c r="J3" s="1" t="s">
        <v>91</v>
      </c>
      <c r="K3" s="1" t="s">
        <v>52</v>
      </c>
      <c r="L3" s="1" t="s">
        <v>52</v>
      </c>
      <c r="M3" s="1"/>
      <c r="N3" s="1"/>
      <c r="O3" s="1" t="s">
        <v>7</v>
      </c>
      <c r="P3" s="1" t="b">
        <f t="shared" si="0"/>
        <v>0</v>
      </c>
      <c r="Q3" s="7">
        <v>5</v>
      </c>
      <c r="R3" s="3" t="str">
        <f ca="1">"https://www.temapa.jp/park/tdr/facility/"&amp;RIGHT(新規_テキスト_ドキュメント[[#This Row],[URL]],4)&amp;"?day="&amp;TEXT(TODAY(),"yyyymmdd")</f>
        <v>https://www.temapa.jp/park/tdr/facility/227/?day=20260420</v>
      </c>
      <c r="S3" s="1" t="s">
        <v>130</v>
      </c>
    </row>
    <row r="4" spans="1:19" x14ac:dyDescent="0.45">
      <c r="A4" s="1">
        <v>3</v>
      </c>
      <c r="B4" s="1"/>
      <c r="C4" s="6" t="s">
        <v>15</v>
      </c>
      <c r="D4" s="2" t="s">
        <v>65</v>
      </c>
      <c r="E4" s="4" t="s">
        <v>12</v>
      </c>
      <c r="F4" s="1" t="s">
        <v>46</v>
      </c>
      <c r="G4" s="1" t="s">
        <v>98</v>
      </c>
      <c r="H4" s="1"/>
      <c r="I4" s="1" t="s">
        <v>91</v>
      </c>
      <c r="J4" s="1" t="s">
        <v>91</v>
      </c>
      <c r="K4" s="1" t="s">
        <v>52</v>
      </c>
      <c r="L4" s="1" t="s">
        <v>52</v>
      </c>
      <c r="M4" s="1"/>
      <c r="N4" s="1"/>
      <c r="O4" s="1" t="s">
        <v>112</v>
      </c>
      <c r="P4" s="1" t="b">
        <f t="shared" si="0"/>
        <v>0</v>
      </c>
      <c r="Q4" s="7">
        <v>10</v>
      </c>
      <c r="R4" s="3" t="str">
        <f ca="1">"https://www.temapa.jp/park/tdr/facility/"&amp;RIGHT(新規_テキスト_ドキュメント[[#This Row],[URL]],4)&amp;"?day="&amp;TEXT(TODAY(),"yyyymmdd")</f>
        <v>https://www.temapa.jp/park/tdr/facility/244/?day=20260420</v>
      </c>
      <c r="S4" s="1" t="s">
        <v>16</v>
      </c>
    </row>
    <row r="5" spans="1:19" x14ac:dyDescent="0.45">
      <c r="A5" s="1">
        <v>4</v>
      </c>
      <c r="B5" s="1" t="s">
        <v>121</v>
      </c>
      <c r="C5" s="6" t="s">
        <v>64</v>
      </c>
      <c r="D5" s="2" t="s">
        <v>59</v>
      </c>
      <c r="E5" s="4" t="s">
        <v>12</v>
      </c>
      <c r="F5" s="1" t="s">
        <v>46</v>
      </c>
      <c r="G5" s="1" t="s">
        <v>6</v>
      </c>
      <c r="H5" s="1"/>
      <c r="I5" s="1" t="s">
        <v>91</v>
      </c>
      <c r="J5" s="1" t="s">
        <v>90</v>
      </c>
      <c r="K5" s="1"/>
      <c r="L5" s="1"/>
      <c r="M5" s="1" t="s">
        <v>122</v>
      </c>
      <c r="N5" s="1"/>
      <c r="O5" s="1" t="s">
        <v>8</v>
      </c>
      <c r="P5" s="1" t="b">
        <f t="shared" si="0"/>
        <v>0</v>
      </c>
      <c r="Q5" s="7">
        <v>60</v>
      </c>
      <c r="R5" s="3" t="str">
        <f ca="1">"https://www.temapa.jp/park/tdr/facility/"&amp;RIGHT(新規_テキスト_ドキュメント[[#This Row],[URL]],4)&amp;"?day="&amp;TEXT(TODAY(),"yyyymmdd")</f>
        <v>https://www.temapa.jp/park/tdr/facility/219/?day=20260420</v>
      </c>
      <c r="S5" s="1" t="s">
        <v>116</v>
      </c>
    </row>
    <row r="6" spans="1:19" x14ac:dyDescent="0.45">
      <c r="A6" s="1">
        <v>5</v>
      </c>
      <c r="B6" s="1"/>
      <c r="C6" s="6" t="s">
        <v>18</v>
      </c>
      <c r="D6" s="2" t="s">
        <v>73</v>
      </c>
      <c r="E6" s="4" t="s">
        <v>17</v>
      </c>
      <c r="F6" s="1" t="s">
        <v>51</v>
      </c>
      <c r="G6" s="1" t="s">
        <v>99</v>
      </c>
      <c r="H6" s="1"/>
      <c r="I6" s="1" t="s">
        <v>91</v>
      </c>
      <c r="J6" s="1" t="s">
        <v>90</v>
      </c>
      <c r="K6" s="1"/>
      <c r="L6" s="1"/>
      <c r="M6" s="1" t="s">
        <v>122</v>
      </c>
      <c r="N6" s="1"/>
      <c r="O6" s="1" t="s">
        <v>8</v>
      </c>
      <c r="P6" s="1" t="b">
        <f t="shared" si="0"/>
        <v>0</v>
      </c>
      <c r="Q6" s="7">
        <v>40</v>
      </c>
      <c r="R6" s="3" t="str">
        <f ca="1">"https://www.temapa.jp/park/tdr/facility/"&amp;RIGHT(新規_テキスト_ドキュメント[[#This Row],[URL]],4)&amp;"?day="&amp;TEXT(TODAY(),"yyyymmdd")</f>
        <v>https://www.temapa.jp/park/tdr/facility/243/?day=20260420</v>
      </c>
      <c r="S6" s="1" t="s">
        <v>131</v>
      </c>
    </row>
    <row r="7" spans="1:19" x14ac:dyDescent="0.45">
      <c r="A7" s="1">
        <v>6</v>
      </c>
      <c r="B7" s="1"/>
      <c r="C7" s="6" t="s">
        <v>19</v>
      </c>
      <c r="D7" s="2" t="s">
        <v>74</v>
      </c>
      <c r="E7" s="4" t="s">
        <v>17</v>
      </c>
      <c r="F7" s="1" t="s">
        <v>51</v>
      </c>
      <c r="G7" s="1" t="s">
        <v>100</v>
      </c>
      <c r="H7" s="1"/>
      <c r="I7" s="1" t="s">
        <v>91</v>
      </c>
      <c r="J7" s="1" t="s">
        <v>112</v>
      </c>
      <c r="K7" s="1"/>
      <c r="L7" s="1"/>
      <c r="M7" s="1"/>
      <c r="N7" s="1"/>
      <c r="O7" s="1" t="s">
        <v>8</v>
      </c>
      <c r="P7" s="1" t="b">
        <f t="shared" si="0"/>
        <v>0</v>
      </c>
      <c r="Q7" s="7">
        <v>50</v>
      </c>
      <c r="R7" s="3" t="str">
        <f ca="1">"https://www.temapa.jp/park/tdr/facility/"&amp;RIGHT(新規_テキスト_ドキュメント[[#This Row],[URL]],4)&amp;"?day="&amp;TEXT(TODAY(),"yyyymmdd")</f>
        <v>https://www.temapa.jp/park/tdr/facility/218/?day=20260420</v>
      </c>
      <c r="S7" s="1" t="s">
        <v>130</v>
      </c>
    </row>
    <row r="8" spans="1:19" x14ac:dyDescent="0.45">
      <c r="A8" s="1">
        <v>7</v>
      </c>
      <c r="B8" s="1" t="s">
        <v>121</v>
      </c>
      <c r="C8" s="6" t="s">
        <v>20</v>
      </c>
      <c r="D8" s="2" t="s">
        <v>75</v>
      </c>
      <c r="E8" s="4" t="s">
        <v>17</v>
      </c>
      <c r="F8" s="1" t="s">
        <v>51</v>
      </c>
      <c r="G8" s="1" t="s">
        <v>21</v>
      </c>
      <c r="H8" s="1"/>
      <c r="I8" s="1" t="s">
        <v>91</v>
      </c>
      <c r="J8" s="1" t="s">
        <v>91</v>
      </c>
      <c r="K8" s="1" t="s">
        <v>52</v>
      </c>
      <c r="L8" s="1" t="s">
        <v>52</v>
      </c>
      <c r="M8" s="1"/>
      <c r="N8" s="1" t="s">
        <v>115</v>
      </c>
      <c r="O8" s="1" t="s">
        <v>8</v>
      </c>
      <c r="P8" s="1" t="b">
        <f t="shared" si="0"/>
        <v>0</v>
      </c>
      <c r="Q8" s="7">
        <v>25</v>
      </c>
      <c r="R8" s="3" t="str">
        <f ca="1">"https://www.temapa.jp/park/tdr/facility/"&amp;RIGHT(新規_テキスト_ドキュメント[[#This Row],[URL]],4)&amp;"?day="&amp;TEXT(TODAY(),"yyyymmdd")</f>
        <v>https://www.temapa.jp/park/tdr/facility/246/?day=20260420</v>
      </c>
      <c r="S8" s="1" t="s">
        <v>118</v>
      </c>
    </row>
    <row r="9" spans="1:19" x14ac:dyDescent="0.45">
      <c r="A9" s="1">
        <v>8</v>
      </c>
      <c r="B9" s="1"/>
      <c r="C9" s="6" t="s">
        <v>22</v>
      </c>
      <c r="D9" s="2" t="s">
        <v>76</v>
      </c>
      <c r="E9" s="4" t="s">
        <v>17</v>
      </c>
      <c r="F9" s="1" t="s">
        <v>51</v>
      </c>
      <c r="G9" s="1" t="s">
        <v>105</v>
      </c>
      <c r="H9" s="1"/>
      <c r="I9" s="1" t="s">
        <v>91</v>
      </c>
      <c r="J9" s="1" t="s">
        <v>91</v>
      </c>
      <c r="K9" s="1" t="s">
        <v>52</v>
      </c>
      <c r="L9" s="1" t="s">
        <v>52</v>
      </c>
      <c r="M9" s="1"/>
      <c r="N9" s="1"/>
      <c r="O9" s="1" t="s">
        <v>8</v>
      </c>
      <c r="P9" s="1" t="b">
        <f t="shared" si="0"/>
        <v>0</v>
      </c>
      <c r="Q9" s="7">
        <v>10</v>
      </c>
      <c r="R9" s="3" t="str">
        <f ca="1">"https://www.temapa.jp/park/tdr/facility/"&amp;RIGHT(新規_テキスト_ドキュメント[[#This Row],[URL]],4)&amp;"?day="&amp;TEXT(TODAY(),"yyyymmdd")</f>
        <v>https://www.temapa.jp/park/tdr/facility/231/?day=20260420</v>
      </c>
      <c r="S9" s="1" t="s">
        <v>132</v>
      </c>
    </row>
    <row r="10" spans="1:19" x14ac:dyDescent="0.45">
      <c r="A10" s="1">
        <v>9</v>
      </c>
      <c r="B10" s="1"/>
      <c r="C10" s="6" t="s">
        <v>14</v>
      </c>
      <c r="D10" s="2" t="s">
        <v>77</v>
      </c>
      <c r="E10" s="4" t="s">
        <v>17</v>
      </c>
      <c r="F10" s="1" t="s">
        <v>51</v>
      </c>
      <c r="G10" s="1" t="s">
        <v>101</v>
      </c>
      <c r="H10" s="1"/>
      <c r="I10" s="1" t="s">
        <v>91</v>
      </c>
      <c r="J10" s="1" t="s">
        <v>91</v>
      </c>
      <c r="K10" s="1" t="s">
        <v>52</v>
      </c>
      <c r="L10" s="1" t="s">
        <v>52</v>
      </c>
      <c r="M10" s="1"/>
      <c r="N10" s="1"/>
      <c r="O10" s="1" t="s">
        <v>7</v>
      </c>
      <c r="P10" s="1" t="b">
        <f t="shared" si="0"/>
        <v>0</v>
      </c>
      <c r="Q10" s="7">
        <v>10</v>
      </c>
      <c r="R10" s="3" t="str">
        <f ca="1">"https://www.temapa.jp/park/tdr/facility/"&amp;RIGHT(新規_テキスト_ドキュメント[[#This Row],[URL]],4)&amp;"?day="&amp;TEXT(TODAY(),"yyyymmdd")</f>
        <v>https://www.temapa.jp/park/tdr/facility/228/?day=20260420</v>
      </c>
      <c r="S10" s="1" t="s">
        <v>133</v>
      </c>
    </row>
    <row r="11" spans="1:19" x14ac:dyDescent="0.45">
      <c r="A11" s="1">
        <v>10</v>
      </c>
      <c r="B11" s="1"/>
      <c r="C11" s="6" t="s">
        <v>23</v>
      </c>
      <c r="D11" s="2" t="s">
        <v>78</v>
      </c>
      <c r="E11" s="4" t="s">
        <v>17</v>
      </c>
      <c r="F11" s="1" t="s">
        <v>51</v>
      </c>
      <c r="G11" s="1" t="s">
        <v>102</v>
      </c>
      <c r="H11" s="1"/>
      <c r="I11" s="1" t="s">
        <v>91</v>
      </c>
      <c r="J11" s="1" t="s">
        <v>91</v>
      </c>
      <c r="K11" s="1" t="s">
        <v>52</v>
      </c>
      <c r="L11" s="1" t="s">
        <v>52</v>
      </c>
      <c r="M11" s="1"/>
      <c r="N11" s="1"/>
      <c r="O11" s="1" t="s">
        <v>7</v>
      </c>
      <c r="P11" s="1" t="b">
        <f t="shared" si="0"/>
        <v>0</v>
      </c>
      <c r="Q11" s="7">
        <v>10</v>
      </c>
      <c r="R11" s="3" t="str">
        <f ca="1">"https://www.temapa.jp/park/tdr/facility/"&amp;RIGHT(新規_テキスト_ドキュメント[[#This Row],[URL]],4)&amp;"?day="&amp;TEXT(TODAY(),"yyyymmdd")</f>
        <v>https://www.temapa.jp/park/tdr/facility/233/?day=20260420</v>
      </c>
      <c r="S11" s="1" t="s">
        <v>117</v>
      </c>
    </row>
    <row r="12" spans="1:19" x14ac:dyDescent="0.45">
      <c r="A12" s="1">
        <v>11</v>
      </c>
      <c r="B12" s="1"/>
      <c r="C12" s="6" t="s">
        <v>26</v>
      </c>
      <c r="D12" s="2" t="s">
        <v>80</v>
      </c>
      <c r="E12" s="4" t="s">
        <v>24</v>
      </c>
      <c r="F12" s="1" t="s">
        <v>47</v>
      </c>
      <c r="G12" s="1" t="s">
        <v>94</v>
      </c>
      <c r="H12" s="1" t="s">
        <v>119</v>
      </c>
      <c r="I12" s="1" t="s">
        <v>91</v>
      </c>
      <c r="J12" s="1" t="s">
        <v>90</v>
      </c>
      <c r="K12" s="1"/>
      <c r="L12" s="1"/>
      <c r="M12" s="1"/>
      <c r="N12" s="1"/>
      <c r="O12" s="1" t="s">
        <v>7</v>
      </c>
      <c r="P12" s="1" t="b">
        <f t="shared" si="0"/>
        <v>1</v>
      </c>
      <c r="Q12" s="7">
        <v>15</v>
      </c>
      <c r="R12" s="3" t="str">
        <f ca="1">"https://www.temapa.jp/park/tdr/facility/"&amp;RIGHT(新規_テキスト_ドキュメント[[#This Row],[URL]],4)&amp;"?day="&amp;TEXT(TODAY(),"yyyymmdd")</f>
        <v>https://www.temapa.jp/park/tdr/facility/234/?day=20260420</v>
      </c>
      <c r="S12" s="1" t="s">
        <v>132</v>
      </c>
    </row>
    <row r="13" spans="1:19" x14ac:dyDescent="0.45">
      <c r="A13" s="1">
        <v>12</v>
      </c>
      <c r="B13" s="1"/>
      <c r="C13" s="6" t="s">
        <v>25</v>
      </c>
      <c r="D13" s="2" t="s">
        <v>79</v>
      </c>
      <c r="E13" s="4" t="s">
        <v>24</v>
      </c>
      <c r="F13" s="1" t="s">
        <v>47</v>
      </c>
      <c r="G13" s="1" t="s">
        <v>103</v>
      </c>
      <c r="H13" s="1"/>
      <c r="I13" s="1" t="s">
        <v>91</v>
      </c>
      <c r="J13" s="1" t="s">
        <v>90</v>
      </c>
      <c r="K13" s="1"/>
      <c r="L13" s="1"/>
      <c r="M13" s="1" t="s">
        <v>123</v>
      </c>
      <c r="N13" s="1" t="s">
        <v>115</v>
      </c>
      <c r="O13" s="1" t="s">
        <v>8</v>
      </c>
      <c r="P13" s="1" t="b">
        <f t="shared" si="0"/>
        <v>0</v>
      </c>
      <c r="Q13" s="7">
        <v>30</v>
      </c>
      <c r="R13" s="3" t="str">
        <f ca="1">"https://www.temapa.jp/park/tdr/facility/"&amp;RIGHT(新規_テキスト_ドキュメント[[#This Row],[URL]],4)&amp;"?day="&amp;TEXT(TODAY(),"yyyymmdd")</f>
        <v>https://www.temapa.jp/park/tdr/facility/247/?day=20260420</v>
      </c>
      <c r="S13" s="1" t="s">
        <v>116</v>
      </c>
    </row>
    <row r="14" spans="1:19" x14ac:dyDescent="0.45">
      <c r="A14" s="1">
        <v>13</v>
      </c>
      <c r="B14" s="1"/>
      <c r="C14" s="6" t="s">
        <v>22</v>
      </c>
      <c r="D14" s="2" t="s">
        <v>81</v>
      </c>
      <c r="E14" s="4" t="s">
        <v>24</v>
      </c>
      <c r="F14" s="1" t="s">
        <v>47</v>
      </c>
      <c r="G14" s="1" t="s">
        <v>105</v>
      </c>
      <c r="H14" s="1"/>
      <c r="I14" s="1" t="s">
        <v>91</v>
      </c>
      <c r="J14" s="1" t="s">
        <v>91</v>
      </c>
      <c r="K14" s="1"/>
      <c r="L14" s="1"/>
      <c r="M14" s="1"/>
      <c r="N14" s="1"/>
      <c r="O14" s="1" t="s">
        <v>8</v>
      </c>
      <c r="P14" s="1" t="b">
        <f t="shared" si="0"/>
        <v>0</v>
      </c>
      <c r="Q14" s="7">
        <v>10</v>
      </c>
      <c r="R14" s="3" t="str">
        <f ca="1">"https://www.temapa.jp/park/tdr/facility/"&amp;RIGHT(新規_テキスト_ドキュメント[[#This Row],[URL]],4)&amp;"?day="&amp;TEXT(TODAY(),"yyyymmdd")</f>
        <v>https://www.temapa.jp/park/tdr/facility/232/?day=20260420</v>
      </c>
      <c r="S14" s="1" t="s">
        <v>132</v>
      </c>
    </row>
    <row r="15" spans="1:19" x14ac:dyDescent="0.45">
      <c r="A15" s="1">
        <v>14</v>
      </c>
      <c r="B15" s="1"/>
      <c r="C15" s="6" t="s">
        <v>28</v>
      </c>
      <c r="D15" s="2" t="s">
        <v>63</v>
      </c>
      <c r="E15" s="4" t="s">
        <v>27</v>
      </c>
      <c r="F15" s="1" t="s">
        <v>48</v>
      </c>
      <c r="G15" s="1" t="s">
        <v>95</v>
      </c>
      <c r="H15" s="1" t="s">
        <v>119</v>
      </c>
      <c r="I15" s="1" t="s">
        <v>90</v>
      </c>
      <c r="J15" s="1" t="s">
        <v>90</v>
      </c>
      <c r="K15" s="1"/>
      <c r="L15" s="1"/>
      <c r="M15" s="1" t="s">
        <v>124</v>
      </c>
      <c r="N15" s="1" t="s">
        <v>115</v>
      </c>
      <c r="O15" s="1" t="s">
        <v>8</v>
      </c>
      <c r="P15" s="1" t="b">
        <f t="shared" si="0"/>
        <v>1</v>
      </c>
      <c r="Q15" s="7">
        <v>40</v>
      </c>
      <c r="R15" s="3" t="str">
        <f ca="1">"https://www.temapa.jp/park/tdr/facility/"&amp;RIGHT(新規_テキスト_ドキュメント[[#This Row],[URL]],4)&amp;"?day="&amp;TEXT(TODAY(),"yyyymmdd")</f>
        <v>https://www.temapa.jp/park/tdr/facility/222/?day=20260420</v>
      </c>
      <c r="S15" s="1" t="s">
        <v>134</v>
      </c>
    </row>
    <row r="16" spans="1:19" x14ac:dyDescent="0.45">
      <c r="A16" s="1">
        <v>15</v>
      </c>
      <c r="B16" s="1"/>
      <c r="C16" s="6" t="s">
        <v>29</v>
      </c>
      <c r="D16" s="2" t="s">
        <v>82</v>
      </c>
      <c r="E16" s="4" t="s">
        <v>27</v>
      </c>
      <c r="F16" s="1" t="s">
        <v>48</v>
      </c>
      <c r="G16" s="1" t="s">
        <v>96</v>
      </c>
      <c r="H16" s="1"/>
      <c r="I16" s="1" t="s">
        <v>90</v>
      </c>
      <c r="J16" s="1" t="s">
        <v>90</v>
      </c>
      <c r="K16" s="1"/>
      <c r="L16" s="1"/>
      <c r="M16" s="1" t="s">
        <v>124</v>
      </c>
      <c r="N16" s="1" t="s">
        <v>115</v>
      </c>
      <c r="O16" s="1" t="s">
        <v>7</v>
      </c>
      <c r="P16" s="1" t="b">
        <f t="shared" si="0"/>
        <v>1</v>
      </c>
      <c r="Q16" s="7">
        <v>35</v>
      </c>
      <c r="R16" s="3" t="str">
        <f ca="1">"https://www.temapa.jp/park/tdr/facility/"&amp;RIGHT(新規_テキスト_ドキュメント[[#This Row],[URL]],4)&amp;"?day="&amp;TEXT(TODAY(),"yyyymmdd")</f>
        <v>https://www.temapa.jp/park/tdr/facility/242/?day=20260420</v>
      </c>
      <c r="S16" s="1" t="s">
        <v>135</v>
      </c>
    </row>
    <row r="17" spans="1:19" x14ac:dyDescent="0.45">
      <c r="A17" s="1">
        <v>16</v>
      </c>
      <c r="B17" s="1"/>
      <c r="C17" s="6" t="s">
        <v>14</v>
      </c>
      <c r="D17" s="2" t="s">
        <v>77</v>
      </c>
      <c r="E17" s="4" t="s">
        <v>27</v>
      </c>
      <c r="F17" s="1" t="s">
        <v>48</v>
      </c>
      <c r="G17" s="1" t="s">
        <v>104</v>
      </c>
      <c r="H17" s="1"/>
      <c r="I17" s="1" t="s">
        <v>91</v>
      </c>
      <c r="J17" s="1" t="s">
        <v>91</v>
      </c>
      <c r="K17" s="1"/>
      <c r="L17" s="1" t="s">
        <v>52</v>
      </c>
      <c r="M17" s="1"/>
      <c r="N17" s="1"/>
      <c r="O17" s="1" t="s">
        <v>7</v>
      </c>
      <c r="P17" s="1" t="b">
        <f t="shared" si="0"/>
        <v>0</v>
      </c>
      <c r="Q17" s="7">
        <v>10</v>
      </c>
      <c r="R17" s="3" t="str">
        <f ca="1">"https://www.temapa.jp/park/tdr/facility/"&amp;RIGHT(新規_テキスト_ドキュメント[[#This Row],[URL]],4)&amp;"?day="&amp;TEXT(TODAY(),"yyyymmdd")</f>
        <v>https://www.temapa.jp/park/tdr/facility/228/?day=20260420</v>
      </c>
      <c r="S17" s="1" t="s">
        <v>136</v>
      </c>
    </row>
    <row r="18" spans="1:19" x14ac:dyDescent="0.45">
      <c r="A18" s="1">
        <v>17</v>
      </c>
      <c r="B18" s="1"/>
      <c r="C18" s="6" t="s">
        <v>106</v>
      </c>
      <c r="D18" s="2" t="s">
        <v>120</v>
      </c>
      <c r="E18" s="4" t="s">
        <v>30</v>
      </c>
      <c r="F18" s="1" t="s">
        <v>49</v>
      </c>
      <c r="G18" s="1" t="s">
        <v>107</v>
      </c>
      <c r="H18" s="1" t="s">
        <v>119</v>
      </c>
      <c r="I18" s="1" t="s">
        <v>91</v>
      </c>
      <c r="J18" s="1" t="s">
        <v>91</v>
      </c>
      <c r="K18" s="1" t="s">
        <v>52</v>
      </c>
      <c r="L18" s="1" t="s">
        <v>52</v>
      </c>
      <c r="M18" s="1"/>
      <c r="N18" s="1"/>
      <c r="O18" s="1" t="s">
        <v>8</v>
      </c>
      <c r="P18" s="1" t="b">
        <f t="shared" si="0"/>
        <v>1</v>
      </c>
      <c r="Q18" s="7">
        <v>10</v>
      </c>
      <c r="R18" s="3" t="str">
        <f ca="1">"https://www.temapa.jp/park/tdr/facility/"&amp;RIGHT(新規_テキスト_ドキュメント[[#This Row],[URL]],4)&amp;"?day="&amp;TEXT(TODAY(),"yyyymmdd")</f>
        <v>https://www.temapa.jp/park/tdr/facility/235/?day=20260420</v>
      </c>
      <c r="S18" s="1" t="s">
        <v>117</v>
      </c>
    </row>
    <row r="19" spans="1:19" x14ac:dyDescent="0.45">
      <c r="A19" s="1">
        <v>18</v>
      </c>
      <c r="B19" s="1"/>
      <c r="C19" s="6" t="s">
        <v>31</v>
      </c>
      <c r="D19" s="2" t="s">
        <v>83</v>
      </c>
      <c r="E19" s="4" t="s">
        <v>30</v>
      </c>
      <c r="F19" s="1" t="s">
        <v>49</v>
      </c>
      <c r="G19" s="1" t="s">
        <v>94</v>
      </c>
      <c r="H19" s="1"/>
      <c r="I19" s="1" t="s">
        <v>91</v>
      </c>
      <c r="J19" s="1" t="s">
        <v>112</v>
      </c>
      <c r="K19" s="1"/>
      <c r="L19" s="1"/>
      <c r="M19" s="1"/>
      <c r="N19" s="1"/>
      <c r="O19" s="1" t="s">
        <v>7</v>
      </c>
      <c r="P19" s="1" t="b">
        <f t="shared" si="0"/>
        <v>0</v>
      </c>
      <c r="Q19" s="7">
        <v>15</v>
      </c>
      <c r="R19" s="3" t="str">
        <f ca="1">"https://www.temapa.jp/park/tdr/facility/"&amp;RIGHT(新規_テキスト_ドキュメント[[#This Row],[URL]],4)&amp;"?day="&amp;TEXT(TODAY(),"yyyymmdd")</f>
        <v>https://www.temapa.jp/park/tdr/facility/220/?day=20260420</v>
      </c>
      <c r="S19" s="1" t="s">
        <v>135</v>
      </c>
    </row>
    <row r="20" spans="1:19" x14ac:dyDescent="0.45">
      <c r="A20" s="1">
        <v>19</v>
      </c>
      <c r="B20" s="1"/>
      <c r="C20" s="6" t="s">
        <v>32</v>
      </c>
      <c r="D20" s="2" t="s">
        <v>84</v>
      </c>
      <c r="E20" s="4" t="s">
        <v>30</v>
      </c>
      <c r="F20" s="1" t="s">
        <v>49</v>
      </c>
      <c r="G20" s="1" t="s">
        <v>108</v>
      </c>
      <c r="H20" s="1"/>
      <c r="I20" s="1" t="s">
        <v>91</v>
      </c>
      <c r="J20" s="1" t="s">
        <v>112</v>
      </c>
      <c r="K20" s="1"/>
      <c r="L20" s="1"/>
      <c r="M20" s="1"/>
      <c r="N20" s="1"/>
      <c r="O20" s="1" t="s">
        <v>8</v>
      </c>
      <c r="P20" s="1" t="b">
        <f t="shared" si="0"/>
        <v>0</v>
      </c>
      <c r="Q20" s="7">
        <v>10</v>
      </c>
      <c r="R20" s="3" t="str">
        <f ca="1">"https://www.temapa.jp/park/tdr/facility/"&amp;RIGHT(新規_テキスト_ドキュメント[[#This Row],[URL]],4)&amp;"?day="&amp;TEXT(TODAY(),"yyyymmdd")</f>
        <v>https://www.temapa.jp/park/tdr/facility/236/?day=20260420</v>
      </c>
      <c r="S20" s="1" t="s">
        <v>132</v>
      </c>
    </row>
    <row r="21" spans="1:19" x14ac:dyDescent="0.45">
      <c r="A21" s="1">
        <v>20</v>
      </c>
      <c r="B21" s="1"/>
      <c r="C21" s="6" t="s">
        <v>33</v>
      </c>
      <c r="D21" s="2" t="s">
        <v>85</v>
      </c>
      <c r="E21" s="4" t="s">
        <v>30</v>
      </c>
      <c r="F21" s="1" t="s">
        <v>49</v>
      </c>
      <c r="G21" s="1" t="s">
        <v>21</v>
      </c>
      <c r="H21" s="1"/>
      <c r="I21" s="1" t="s">
        <v>91</v>
      </c>
      <c r="J21" s="1" t="s">
        <v>91</v>
      </c>
      <c r="K21" s="1" t="s">
        <v>52</v>
      </c>
      <c r="L21" s="1" t="s">
        <v>52</v>
      </c>
      <c r="M21" s="1"/>
      <c r="N21" s="1" t="s">
        <v>115</v>
      </c>
      <c r="O21" s="1" t="s">
        <v>8</v>
      </c>
      <c r="P21" s="1" t="b">
        <f t="shared" si="0"/>
        <v>0</v>
      </c>
      <c r="Q21" s="7">
        <v>20</v>
      </c>
      <c r="R21" s="3" t="str">
        <f ca="1">"https://www.temapa.jp/park/tdr/facility/"&amp;RIGHT(新規_テキスト_ドキュメント[[#This Row],[URL]],4)&amp;"?day="&amp;TEXT(TODAY(),"yyyymmdd")</f>
        <v>https://www.temapa.jp/park/tdr/facility/226/?day=20260420</v>
      </c>
      <c r="S21" s="1" t="s">
        <v>137</v>
      </c>
    </row>
    <row r="22" spans="1:19" x14ac:dyDescent="0.45">
      <c r="A22" s="1">
        <v>21</v>
      </c>
      <c r="B22" s="1" t="s">
        <v>121</v>
      </c>
      <c r="C22" s="6" t="s">
        <v>35</v>
      </c>
      <c r="D22" s="2" t="s">
        <v>86</v>
      </c>
      <c r="E22" s="4" t="s">
        <v>34</v>
      </c>
      <c r="F22" s="1" t="s">
        <v>50</v>
      </c>
      <c r="G22" s="1" t="s">
        <v>109</v>
      </c>
      <c r="H22" s="1"/>
      <c r="I22" s="1" t="s">
        <v>91</v>
      </c>
      <c r="J22" s="1" t="s">
        <v>112</v>
      </c>
      <c r="K22" s="1"/>
      <c r="L22" s="1"/>
      <c r="M22" s="1"/>
      <c r="N22" s="1"/>
      <c r="O22" s="1" t="s">
        <v>7</v>
      </c>
      <c r="P22" s="1" t="b">
        <f t="shared" si="0"/>
        <v>0</v>
      </c>
      <c r="Q22" s="7">
        <v>10</v>
      </c>
      <c r="R22" s="3" t="str">
        <f ca="1">"https://www.temapa.jp/park/tdr/facility/"&amp;RIGHT(新規_テキスト_ドキュメント[[#This Row],[URL]],4)&amp;"?day="&amp;TEXT(TODAY(),"yyyymmdd")</f>
        <v>https://www.temapa.jp/park/tdr/facility/238/?day=20260420</v>
      </c>
      <c r="S22" s="1" t="s">
        <v>135</v>
      </c>
    </row>
    <row r="23" spans="1:19" x14ac:dyDescent="0.45">
      <c r="A23" s="1">
        <v>22</v>
      </c>
      <c r="B23" s="1" t="s">
        <v>121</v>
      </c>
      <c r="C23" s="6" t="s">
        <v>36</v>
      </c>
      <c r="D23" s="1" t="s">
        <v>66</v>
      </c>
      <c r="E23" s="4" t="s">
        <v>34</v>
      </c>
      <c r="F23" s="1" t="s">
        <v>50</v>
      </c>
      <c r="G23" s="1" t="s">
        <v>96</v>
      </c>
      <c r="H23" s="1"/>
      <c r="I23" s="1" t="s">
        <v>91</v>
      </c>
      <c r="J23" s="1" t="s">
        <v>90</v>
      </c>
      <c r="K23" s="1"/>
      <c r="L23" s="1"/>
      <c r="M23" s="1" t="s">
        <v>123</v>
      </c>
      <c r="N23" s="1"/>
      <c r="O23" s="1" t="s">
        <v>7</v>
      </c>
      <c r="P23" s="1" t="b">
        <f t="shared" si="0"/>
        <v>0</v>
      </c>
      <c r="Q23" s="7">
        <v>20</v>
      </c>
      <c r="R23" s="3" t="str">
        <f ca="1">"https://www.temapa.jp/park/tdr/facility/"&amp;RIGHT(新規_テキスト_ドキュメント[[#This Row],[URL]],4)&amp;"?day="&amp;TEXT(TODAY(),"yyyymmdd")</f>
        <v>https://www.temapa.jp/park/tdr/facility/237/?day=20260420</v>
      </c>
      <c r="S23" s="1" t="s">
        <v>138</v>
      </c>
    </row>
    <row r="24" spans="1:19" x14ac:dyDescent="0.45">
      <c r="A24" s="1">
        <v>23</v>
      </c>
      <c r="B24" s="1"/>
      <c r="C24" s="6" t="s">
        <v>37</v>
      </c>
      <c r="D24" s="1" t="s">
        <v>67</v>
      </c>
      <c r="E24" s="4" t="s">
        <v>34</v>
      </c>
      <c r="F24" s="1" t="s">
        <v>50</v>
      </c>
      <c r="G24" s="1" t="s">
        <v>93</v>
      </c>
      <c r="H24" s="1"/>
      <c r="I24" s="1" t="s">
        <v>91</v>
      </c>
      <c r="J24" s="1" t="s">
        <v>91</v>
      </c>
      <c r="K24" s="1" t="s">
        <v>52</v>
      </c>
      <c r="L24" s="1"/>
      <c r="M24" s="1"/>
      <c r="N24" s="1"/>
      <c r="O24" s="1" t="s">
        <v>8</v>
      </c>
      <c r="P24" s="1" t="b">
        <f t="shared" si="0"/>
        <v>0</v>
      </c>
      <c r="Q24" s="7">
        <v>10</v>
      </c>
      <c r="R24" s="3" t="str">
        <f ca="1">"https://www.temapa.jp/park/tdr/facility/"&amp;RIGHT(新規_テキスト_ドキュメント[[#This Row],[URL]],4)&amp;"?day="&amp;TEXT(TODAY(),"yyyymmdd")</f>
        <v>https://www.temapa.jp/park/tdr/facility/202/?day=20260420</v>
      </c>
      <c r="S24" s="1" t="s">
        <v>16</v>
      </c>
    </row>
    <row r="25" spans="1:19" x14ac:dyDescent="0.45">
      <c r="A25" s="1">
        <v>24</v>
      </c>
      <c r="B25" s="1"/>
      <c r="C25" s="6" t="s">
        <v>38</v>
      </c>
      <c r="D25" s="1" t="s">
        <v>68</v>
      </c>
      <c r="E25" s="4" t="s">
        <v>34</v>
      </c>
      <c r="F25" s="1" t="s">
        <v>50</v>
      </c>
      <c r="G25" s="1" t="s">
        <v>97</v>
      </c>
      <c r="H25" s="1"/>
      <c r="I25" s="1" t="s">
        <v>91</v>
      </c>
      <c r="J25" s="1" t="s">
        <v>112</v>
      </c>
      <c r="K25" s="1"/>
      <c r="L25" s="1"/>
      <c r="M25" s="1"/>
      <c r="N25" s="1"/>
      <c r="O25" s="1" t="s">
        <v>8</v>
      </c>
      <c r="P25" s="1" t="b">
        <f t="shared" si="0"/>
        <v>0</v>
      </c>
      <c r="Q25" s="7">
        <v>15</v>
      </c>
      <c r="R25" s="3" t="str">
        <f ca="1">"https://www.temapa.jp/park/tdr/facility/"&amp;RIGHT(新規_テキスト_ドキュメント[[#This Row],[URL]],4)&amp;"?day="&amp;TEXT(TODAY(),"yyyymmdd")</f>
        <v>https://www.temapa.jp/park/tdr/facility/239/?day=20260420</v>
      </c>
      <c r="S25" s="1" t="s">
        <v>138</v>
      </c>
    </row>
    <row r="26" spans="1:19" x14ac:dyDescent="0.45">
      <c r="A26" s="1">
        <v>25</v>
      </c>
      <c r="B26" s="1"/>
      <c r="C26" s="6" t="s">
        <v>113</v>
      </c>
      <c r="D26" s="1" t="s">
        <v>69</v>
      </c>
      <c r="E26" s="4" t="s">
        <v>34</v>
      </c>
      <c r="F26" s="1" t="s">
        <v>50</v>
      </c>
      <c r="G26" s="1" t="s">
        <v>94</v>
      </c>
      <c r="H26" s="1"/>
      <c r="I26" s="1" t="s">
        <v>91</v>
      </c>
      <c r="J26" s="1" t="s">
        <v>91</v>
      </c>
      <c r="K26" s="1" t="s">
        <v>52</v>
      </c>
      <c r="L26" s="1" t="s">
        <v>52</v>
      </c>
      <c r="M26" s="1"/>
      <c r="N26" s="1"/>
      <c r="O26" s="1" t="s">
        <v>8</v>
      </c>
      <c r="P26" s="1" t="b">
        <f t="shared" si="0"/>
        <v>0</v>
      </c>
      <c r="Q26" s="7">
        <v>15</v>
      </c>
      <c r="R26" s="3" t="str">
        <f ca="1">"https://www.temapa.jp/park/tdr/facility/"&amp;RIGHT(新規_テキスト_ドキュメント[[#This Row],[URL]],4)&amp;"?day="&amp;TEXT(TODAY(),"yyyymmdd")</f>
        <v>https://www.temapa.jp/park/tdr/facility/240/?day=20260420</v>
      </c>
      <c r="S26" s="1" t="s">
        <v>135</v>
      </c>
    </row>
    <row r="27" spans="1:19" x14ac:dyDescent="0.45">
      <c r="A27" s="1">
        <v>26</v>
      </c>
      <c r="B27" s="1"/>
      <c r="C27" s="6" t="s">
        <v>39</v>
      </c>
      <c r="D27" s="1" t="s">
        <v>70</v>
      </c>
      <c r="E27" s="4" t="s">
        <v>34</v>
      </c>
      <c r="F27" s="1" t="s">
        <v>50</v>
      </c>
      <c r="G27" s="1" t="s">
        <v>110</v>
      </c>
      <c r="H27" s="1"/>
      <c r="I27" s="1" t="s">
        <v>91</v>
      </c>
      <c r="J27" s="1" t="s">
        <v>91</v>
      </c>
      <c r="K27" s="1" t="s">
        <v>52</v>
      </c>
      <c r="L27" s="1" t="s">
        <v>52</v>
      </c>
      <c r="M27" s="1"/>
      <c r="N27" s="1"/>
      <c r="O27" s="1" t="s">
        <v>8</v>
      </c>
      <c r="P27" s="1" t="b">
        <f t="shared" si="0"/>
        <v>0</v>
      </c>
      <c r="Q27" s="7">
        <v>10</v>
      </c>
      <c r="R27" s="3" t="str">
        <f ca="1">"https://www.temapa.jp/park/tdr/facility/"&amp;RIGHT(新規_テキスト_ドキュメント[[#This Row],[URL]],4)&amp;"?day="&amp;TEXT(TODAY(),"yyyymmdd")</f>
        <v>https://www.temapa.jp/park/tdr/facility/241/?day=20260420</v>
      </c>
      <c r="S27" s="1" t="s">
        <v>135</v>
      </c>
    </row>
    <row r="28" spans="1:19" x14ac:dyDescent="0.45">
      <c r="A28" s="1">
        <v>27</v>
      </c>
      <c r="B28" s="1"/>
      <c r="C28" s="6" t="s">
        <v>40</v>
      </c>
      <c r="D28" s="1" t="s">
        <v>60</v>
      </c>
      <c r="E28" s="4" t="s">
        <v>34</v>
      </c>
      <c r="F28" s="1" t="s">
        <v>50</v>
      </c>
      <c r="G28" s="1" t="s">
        <v>111</v>
      </c>
      <c r="H28" s="1" t="s">
        <v>119</v>
      </c>
      <c r="I28" s="1" t="s">
        <v>91</v>
      </c>
      <c r="J28" s="1" t="s">
        <v>91</v>
      </c>
      <c r="K28" s="1" t="s">
        <v>52</v>
      </c>
      <c r="L28" s="1"/>
      <c r="M28" s="1"/>
      <c r="N28" s="1"/>
      <c r="O28" s="1" t="s">
        <v>8</v>
      </c>
      <c r="P28" s="1" t="b">
        <f t="shared" si="0"/>
        <v>1</v>
      </c>
      <c r="Q28" s="7">
        <v>20</v>
      </c>
      <c r="R28" s="3" t="str">
        <f ca="1">"https://www.temapa.jp/park/tdr/facility/"&amp;RIGHT(新規_テキスト_ドキュメント[[#This Row],[URL]],4)&amp;"?day="&amp;TEXT(TODAY(),"yyyymmdd")</f>
        <v>https://www.temapa.jp/park/tdr/facility/221/?day=20260420</v>
      </c>
      <c r="S28" s="1" t="s">
        <v>139</v>
      </c>
    </row>
    <row r="29" spans="1:19" x14ac:dyDescent="0.45">
      <c r="A29" s="1">
        <v>28</v>
      </c>
      <c r="B29" s="1"/>
      <c r="C29" s="6" t="s">
        <v>42</v>
      </c>
      <c r="D29" s="1" t="s">
        <v>57</v>
      </c>
      <c r="E29" s="4" t="s">
        <v>41</v>
      </c>
      <c r="F29" s="1" t="s">
        <v>126</v>
      </c>
      <c r="G29" s="1" t="s">
        <v>109</v>
      </c>
      <c r="H29" s="1"/>
      <c r="I29" s="1" t="s">
        <v>90</v>
      </c>
      <c r="J29" s="1" t="s">
        <v>90</v>
      </c>
      <c r="K29" s="1"/>
      <c r="L29" s="1"/>
      <c r="M29" s="1" t="s">
        <v>124</v>
      </c>
      <c r="N29" s="1"/>
      <c r="O29" s="1" t="s">
        <v>7</v>
      </c>
      <c r="P29" s="1" t="b">
        <f t="shared" si="0"/>
        <v>1</v>
      </c>
      <c r="Q29" s="7">
        <v>30</v>
      </c>
      <c r="R29" s="3" t="str">
        <f ca="1">"https://www.temapa.jp/park/tdr/facility/"&amp;RIGHT(新規_テキスト_ドキュメント[[#This Row],[URL]],4)&amp;"?day="&amp;TEXT(TODAY(),"yyyymmdd")</f>
        <v>https://www.temapa.jp/park/tdr/facility/223/?day=20260420</v>
      </c>
      <c r="S29" s="1" t="s">
        <v>134</v>
      </c>
    </row>
    <row r="30" spans="1:19" x14ac:dyDescent="0.45">
      <c r="A30" s="1">
        <v>29</v>
      </c>
      <c r="B30" s="1"/>
      <c r="C30" s="6" t="s">
        <v>43</v>
      </c>
      <c r="D30" s="1" t="s">
        <v>58</v>
      </c>
      <c r="E30" s="4" t="s">
        <v>41</v>
      </c>
      <c r="F30" s="1" t="s">
        <v>126</v>
      </c>
      <c r="G30" s="1" t="s">
        <v>6</v>
      </c>
      <c r="H30" s="1" t="s">
        <v>119</v>
      </c>
      <c r="I30" s="1" t="s">
        <v>91</v>
      </c>
      <c r="J30" s="1" t="s">
        <v>91</v>
      </c>
      <c r="K30" s="1" t="s">
        <v>52</v>
      </c>
      <c r="L30" s="1" t="s">
        <v>52</v>
      </c>
      <c r="M30" s="1"/>
      <c r="N30" s="1" t="s">
        <v>115</v>
      </c>
      <c r="O30" s="1" t="s">
        <v>8</v>
      </c>
      <c r="P30" s="1" t="b">
        <f t="shared" si="0"/>
        <v>1</v>
      </c>
      <c r="Q30" s="7">
        <v>15</v>
      </c>
      <c r="R30" s="3" t="str">
        <f ca="1">"https://www.temapa.jp/park/tdr/facility/"&amp;RIGHT(新規_テキスト_ドキュメント[[#This Row],[URL]],4)&amp;"?day="&amp;TEXT(TODAY(),"yyyymmdd")</f>
        <v>https://www.temapa.jp/park/tdr/facility/224/?day=20260420</v>
      </c>
      <c r="S30" s="1" t="s">
        <v>116</v>
      </c>
    </row>
    <row r="31" spans="1:19" x14ac:dyDescent="0.45">
      <c r="A31" s="1">
        <v>30</v>
      </c>
      <c r="B31" s="1"/>
      <c r="C31" s="6" t="s">
        <v>5</v>
      </c>
      <c r="D31" s="2" t="s">
        <v>62</v>
      </c>
      <c r="E31" s="4" t="s">
        <v>4</v>
      </c>
      <c r="F31" s="1" t="s">
        <v>45</v>
      </c>
      <c r="G31" s="1" t="s">
        <v>107</v>
      </c>
      <c r="H31" s="1"/>
      <c r="I31" s="1" t="s">
        <v>91</v>
      </c>
      <c r="J31" s="1" t="s">
        <v>91</v>
      </c>
      <c r="K31" s="1"/>
      <c r="L31" s="1" t="s">
        <v>52</v>
      </c>
      <c r="M31" s="1"/>
      <c r="N31" s="1"/>
      <c r="O31" s="1" t="s">
        <v>8</v>
      </c>
      <c r="P31" s="1" t="b">
        <f t="shared" si="0"/>
        <v>0</v>
      </c>
      <c r="Q31" s="7">
        <v>70</v>
      </c>
      <c r="R31" s="3" t="str">
        <f ca="1">"https://www.temapa.jp/park/tdr/facility/"&amp;RIGHT(新規_テキスト_ドキュメント[[#This Row],[URL]],4)&amp;"?day="&amp;TEXT(TODAY(),"yyyymmdd")</f>
        <v>https://www.temapa.jp/park/tdr/facility/255/?day=20260420</v>
      </c>
      <c r="S31" s="1" t="s">
        <v>140</v>
      </c>
    </row>
    <row r="32" spans="1:19" x14ac:dyDescent="0.45">
      <c r="A32" s="1">
        <v>31</v>
      </c>
      <c r="B32" s="1"/>
      <c r="C32" s="6" t="s">
        <v>9</v>
      </c>
      <c r="D32" s="2" t="s">
        <v>54</v>
      </c>
      <c r="E32" s="4" t="s">
        <v>4</v>
      </c>
      <c r="F32" s="1" t="s">
        <v>45</v>
      </c>
      <c r="G32" s="1" t="s">
        <v>107</v>
      </c>
      <c r="H32" s="1"/>
      <c r="I32" s="1" t="s">
        <v>91</v>
      </c>
      <c r="J32" s="1" t="s">
        <v>91</v>
      </c>
      <c r="K32" s="1" t="s">
        <v>52</v>
      </c>
      <c r="L32" s="1" t="s">
        <v>52</v>
      </c>
      <c r="M32" s="1"/>
      <c r="N32" s="1"/>
      <c r="O32" s="1" t="s">
        <v>8</v>
      </c>
      <c r="P32" s="1" t="b">
        <f t="shared" si="0"/>
        <v>0</v>
      </c>
      <c r="Q32" s="7">
        <v>50</v>
      </c>
      <c r="R32" s="3" t="str">
        <f ca="1">"https://www.temapa.jp/park/tdr/facility/"&amp;RIGHT(新規_テキスト_ドキュメント[[#This Row],[URL]],4)&amp;"?day="&amp;TEXT(TODAY(),"yyyymmdd")</f>
        <v>https://www.temapa.jp/park/tdr/facility/256/?day=20260420</v>
      </c>
      <c r="S32" s="1" t="s">
        <v>116</v>
      </c>
    </row>
    <row r="33" spans="1:19" x14ac:dyDescent="0.45">
      <c r="A33" s="1">
        <v>32</v>
      </c>
      <c r="B33" s="1" t="s">
        <v>121</v>
      </c>
      <c r="C33" s="6" t="s">
        <v>10</v>
      </c>
      <c r="D33" s="2" t="s">
        <v>55</v>
      </c>
      <c r="E33" s="4" t="s">
        <v>4</v>
      </c>
      <c r="F33" s="1" t="s">
        <v>45</v>
      </c>
      <c r="G33" s="1" t="s">
        <v>6</v>
      </c>
      <c r="H33" s="1"/>
      <c r="I33" s="1" t="s">
        <v>91</v>
      </c>
      <c r="J33" s="1" t="s">
        <v>90</v>
      </c>
      <c r="K33" s="1"/>
      <c r="L33" s="1"/>
      <c r="M33" s="1" t="s">
        <v>122</v>
      </c>
      <c r="N33" s="1"/>
      <c r="O33" s="1" t="s">
        <v>8</v>
      </c>
      <c r="P33" s="1" t="b">
        <f t="shared" si="0"/>
        <v>0</v>
      </c>
      <c r="Q33" s="7">
        <v>90</v>
      </c>
      <c r="R33" s="3" t="str">
        <f ca="1">"https://www.temapa.jp/park/tdr/facility/"&amp;RIGHT(新規_テキスト_ドキュメント[[#This Row],[URL]],4)&amp;"?day="&amp;TEXT(TODAY(),"yyyymmdd")</f>
        <v>https://www.temapa.jp/park/tdr/facility/257/?day=20260420</v>
      </c>
      <c r="S33" s="1" t="s">
        <v>136</v>
      </c>
    </row>
    <row r="34" spans="1:19" x14ac:dyDescent="0.45">
      <c r="A34" s="1">
        <v>33</v>
      </c>
      <c r="B34" s="1"/>
      <c r="C34" s="6" t="s">
        <v>11</v>
      </c>
      <c r="D34" s="2" t="s">
        <v>56</v>
      </c>
      <c r="E34" s="4" t="s">
        <v>4</v>
      </c>
      <c r="F34" s="1" t="s">
        <v>45</v>
      </c>
      <c r="G34" s="1" t="s">
        <v>6</v>
      </c>
      <c r="H34" s="1"/>
      <c r="I34" s="1" t="s">
        <v>91</v>
      </c>
      <c r="J34" s="1" t="s">
        <v>91</v>
      </c>
      <c r="K34" s="1"/>
      <c r="L34" s="1" t="s">
        <v>52</v>
      </c>
      <c r="M34" s="1"/>
      <c r="N34" s="1"/>
      <c r="O34" s="1" t="s">
        <v>8</v>
      </c>
      <c r="P34" s="1" t="b">
        <f t="shared" si="0"/>
        <v>0</v>
      </c>
      <c r="Q34" s="7">
        <v>20</v>
      </c>
      <c r="R34" s="3" t="str">
        <f ca="1">"https://www.temapa.jp/park/tdr/facility/"&amp;RIGHT(新規_テキスト_ドキュメント[[#This Row],[URL]],4)&amp;"?day="&amp;TEXT(TODAY(),"yyyymmdd")</f>
        <v>https://www.temapa.jp/park/tdr/facility/258/?day=20260420</v>
      </c>
      <c r="S34" s="1" t="s">
        <v>131</v>
      </c>
    </row>
  </sheetData>
  <phoneticPr fontId="1"/>
  <conditionalFormatting sqref="A2:S34">
    <cfRule type="expression" dxfId="1" priority="1">
      <formula>($P2=TRUE)</formula>
    </cfRule>
  </conditionalFormatting>
  <dataValidations count="2">
    <dataValidation type="list" allowBlank="1" showDropDown="1" showInputMessage="1" sqref="B3:B34" xr:uid="{D93A3859-7831-44CD-8EB9-BCA555760F04}">
      <formula1>"★"</formula1>
    </dataValidation>
    <dataValidation type="list" allowBlank="1" showInputMessage="1" sqref="B2" xr:uid="{79F26D60-E433-4B88-8461-F3DF47FCD0AF}">
      <formula1>"★"</formula1>
    </dataValidation>
  </dataValidations>
  <hyperlinks>
    <hyperlink ref="D31" r:id="rId1" xr:uid="{0C47FA2E-5E6D-4D3F-9944-CA013AD3F7AE}"/>
    <hyperlink ref="D2" r:id="rId2" xr:uid="{8ACF94F8-B751-440D-969A-D3270639C657}"/>
    <hyperlink ref="D3" r:id="rId3" xr:uid="{CB5C8B12-A48E-41AE-9FF4-6D0BD95FE64A}"/>
    <hyperlink ref="D6" r:id="rId4" xr:uid="{F720BB5D-007E-4C29-942C-3F867FA50E9E}"/>
    <hyperlink ref="D7" r:id="rId5" xr:uid="{42FD93C0-0BB9-4E4F-897F-1AB367C9DFFC}"/>
    <hyperlink ref="D8" r:id="rId6" xr:uid="{638D7727-8383-45D0-A8C9-3CDD8F920582}"/>
    <hyperlink ref="D9" r:id="rId7" xr:uid="{6026A1E9-C2D9-4466-8440-6A7F1881F720}"/>
    <hyperlink ref="D10" r:id="rId8" xr:uid="{B289EB59-7744-423C-B90A-668DB741F5C6}"/>
    <hyperlink ref="D11" r:id="rId9" xr:uid="{488EF74C-4DCB-4950-8F9E-F17F60377DB8}"/>
    <hyperlink ref="D13" r:id="rId10" xr:uid="{AEA4E9AD-5B6E-44E7-AB0C-C0AD72172E2B}"/>
    <hyperlink ref="D12" r:id="rId11" xr:uid="{8E1496A0-18E3-40CD-8DFE-3145EAE1404D}"/>
    <hyperlink ref="D14" r:id="rId12" xr:uid="{E7242FE9-BDCD-4D82-96CA-A33FDCCA970C}"/>
    <hyperlink ref="D15" r:id="rId13" xr:uid="{5BB64BF7-8525-49F3-B894-06B78B7FE467}"/>
    <hyperlink ref="D16" r:id="rId14" xr:uid="{0E238C78-89C0-4B30-BEC1-35667DEAAB28}"/>
    <hyperlink ref="D17" r:id="rId15" xr:uid="{9254CA6E-8419-472A-B24C-437BF25B14F2}"/>
    <hyperlink ref="D18" r:id="rId16" xr:uid="{F6CD2E88-CE31-4340-B899-83203DD1FA63}"/>
    <hyperlink ref="D19" r:id="rId17" xr:uid="{FA20BADE-7333-4200-851B-F6B589C024B9}"/>
    <hyperlink ref="D20" r:id="rId18" xr:uid="{08E77586-D47E-48DB-891B-5A3D16CBA3B0}"/>
    <hyperlink ref="D21" r:id="rId19" xr:uid="{3860E8A6-3C25-49E2-AD44-A7649DA7050C}"/>
    <hyperlink ref="D22" r:id="rId20" xr:uid="{E46B05B2-4559-4AE1-BC55-15018E128036}"/>
    <hyperlink ref="C2" r:id="rId21" xr:uid="{29F62664-E2CA-45C1-A44F-1B3A7FA9C9B4}"/>
    <hyperlink ref="C3" r:id="rId22" xr:uid="{95F7DB1F-9546-4401-A950-83FC4A6EF8E3}"/>
    <hyperlink ref="C4" r:id="rId23" xr:uid="{FAA939C3-A457-4598-BDA0-84700DD22803}"/>
    <hyperlink ref="C5" r:id="rId24" xr:uid="{8DF475FF-E34B-4581-9AD2-F62BE790B8F6}"/>
    <hyperlink ref="C6" r:id="rId25" xr:uid="{AD4C9461-82EE-4AE4-ADC9-F7B5074A9383}"/>
    <hyperlink ref="C7" r:id="rId26" xr:uid="{4DBDC292-D1FE-4824-964E-43DFC50E56B4}"/>
    <hyperlink ref="C8" r:id="rId27" xr:uid="{18DE46CA-1B41-443A-9931-1B29E02A32B4}"/>
    <hyperlink ref="C9" r:id="rId28" xr:uid="{F6EB9563-0A88-4524-BBB2-5822AF55810C}"/>
    <hyperlink ref="C10" r:id="rId29" xr:uid="{12565B18-2986-4EFD-8664-4D175A987D1B}"/>
    <hyperlink ref="C11" r:id="rId30" xr:uid="{3D017B44-4E56-4A37-9AA2-B8A4547B94A8}"/>
    <hyperlink ref="C12" r:id="rId31" xr:uid="{EBD7468B-4EEB-473B-A4D5-9331E79CAEF2}"/>
    <hyperlink ref="C13" r:id="rId32" xr:uid="{EB704561-F64A-436F-814A-02B40253504E}"/>
    <hyperlink ref="C14" r:id="rId33" xr:uid="{AD9BFF53-4348-41FF-8A70-E92BD4842523}"/>
    <hyperlink ref="C15" r:id="rId34" xr:uid="{5E88CAE9-A23F-43FF-81EC-621DE21D1CA3}"/>
    <hyperlink ref="C16" r:id="rId35" xr:uid="{CE9C1BAE-BCF6-49EF-837D-52F9472D4CDE}"/>
    <hyperlink ref="C17" r:id="rId36" xr:uid="{76192287-3A19-4CE6-92E6-77ADB3C649FF}"/>
    <hyperlink ref="C18" r:id="rId37" xr:uid="{4FBA36B7-2B31-435E-BDA8-6E691BB523C1}"/>
    <hyperlink ref="C19" r:id="rId38" xr:uid="{C5D504AB-2FCD-4B9C-BB53-C5701ADF80EA}"/>
    <hyperlink ref="C20" r:id="rId39" xr:uid="{E68F1F41-94D4-4000-AB36-8807FF3C51B6}"/>
    <hyperlink ref="C21" r:id="rId40" xr:uid="{D1D595EA-ACA6-4926-BAF2-4B314C3955F0}"/>
    <hyperlink ref="C22" r:id="rId41" xr:uid="{00A4153B-80BD-4DEF-BB0A-5A69701A5E86}"/>
    <hyperlink ref="C23" r:id="rId42" xr:uid="{19B281B1-CC39-40B1-88F8-9726A934B83B}"/>
    <hyperlink ref="C24" r:id="rId43" xr:uid="{726144E3-6D59-4205-A508-F63335D3D363}"/>
    <hyperlink ref="C25" r:id="rId44" xr:uid="{8929BFB1-0EDF-46DB-8094-EECB9BBE4263}"/>
    <hyperlink ref="C26" r:id="rId45" xr:uid="{D5DAFD5B-D5D1-47A3-AA09-D624631A1773}"/>
    <hyperlink ref="C27" r:id="rId46" xr:uid="{46F8F019-1878-4409-8711-6C24928D7D56}"/>
    <hyperlink ref="C28" r:id="rId47" xr:uid="{B377D86D-B678-474B-8071-6065742C42F5}"/>
    <hyperlink ref="C29" r:id="rId48" xr:uid="{BE5A2273-7214-4A83-AD39-7DB9C6155FCE}"/>
    <hyperlink ref="C30" r:id="rId49" xr:uid="{B16E58B8-BA35-4778-9825-BF994F809A02}"/>
    <hyperlink ref="C31" r:id="rId50" xr:uid="{E38A223A-4AD8-4FBB-BB27-6129BCCB8BC0}"/>
    <hyperlink ref="C32" r:id="rId51" xr:uid="{E45CB3A6-05AF-47A4-8EFC-EDA5900DF6E7}"/>
    <hyperlink ref="C33" r:id="rId52" xr:uid="{A2381CEA-15D5-4CC3-AE19-0FCF67068BC3}"/>
    <hyperlink ref="C34" r:id="rId53" xr:uid="{7A0C5DAC-D037-4E9B-836F-C9141D6F4C36}"/>
    <hyperlink ref="Q2" r:id="rId54" display="5" xr:uid="{985C40DC-28FD-43D7-9A62-73794635CC7B}"/>
    <hyperlink ref="Q3" r:id="rId55" display="5" xr:uid="{32DC4928-6ACD-4CD2-898D-0A7EE29C93D1}"/>
    <hyperlink ref="Q4" r:id="rId56" display="10" xr:uid="{90084D67-4ACD-4B2F-8F61-245014E15F9A}"/>
    <hyperlink ref="Q5" r:id="rId57" display="60" xr:uid="{F45E2B0F-2F26-4F94-B500-4BA1F7732520}"/>
    <hyperlink ref="Q6" r:id="rId58" display="40" xr:uid="{7D6A85D0-80CC-4EBD-BC42-B80A3BE800DC}"/>
    <hyperlink ref="Q7" r:id="rId59" display="50" xr:uid="{86716E15-3812-4358-9E6B-6679E888CEDF}"/>
    <hyperlink ref="Q8" r:id="rId60" display="25" xr:uid="{2987174C-E4B8-4FEF-AECD-F63529003973}"/>
    <hyperlink ref="Q9" r:id="rId61" display="10" xr:uid="{7D9E87A4-8E64-440B-9044-09E12FE2AB2D}"/>
    <hyperlink ref="Q10" r:id="rId62" display="10" xr:uid="{36625665-784F-499B-89D5-0EEC296DBF22}"/>
    <hyperlink ref="Q11" r:id="rId63" display="10" xr:uid="{E5E3ACC0-DF45-4857-923D-695642F9BAF1}"/>
    <hyperlink ref="Q12" r:id="rId64" display="15" xr:uid="{74D80EB8-3C1B-4509-89B9-EE1D335C30E9}"/>
    <hyperlink ref="Q13" r:id="rId65" display="30" xr:uid="{FE2E6AB5-1D01-403F-9E44-7611115BE0C7}"/>
    <hyperlink ref="Q14" r:id="rId66" display="10" xr:uid="{CA45EB7A-C8BD-4535-BC43-960C2ACB350C}"/>
    <hyperlink ref="Q15" r:id="rId67" display="40" xr:uid="{80A28EF4-CDDD-4E07-9C28-A9DF89D57453}"/>
    <hyperlink ref="Q16" r:id="rId68" display="35" xr:uid="{21674ECC-4A2C-4EF7-9F66-20DDF05F54E4}"/>
    <hyperlink ref="Q17" r:id="rId69" display="10" xr:uid="{2D1BA548-4C29-4FF5-B5BB-411BD29F3499}"/>
    <hyperlink ref="Q18" r:id="rId70" display="10" xr:uid="{F5B0D0BF-94D0-496A-9E40-5BF8B361B635}"/>
    <hyperlink ref="Q19" r:id="rId71" display="15" xr:uid="{62E81309-0484-48E0-90B2-B125E1B795CD}"/>
    <hyperlink ref="Q20" r:id="rId72" display="10" xr:uid="{C5A2ABF4-8B8B-42D5-A114-F6EB15BC3B0E}"/>
    <hyperlink ref="Q21" r:id="rId73" display="20" xr:uid="{378A69C8-B173-4C3F-962A-BD1617296179}"/>
    <hyperlink ref="Q22" r:id="rId74" display="10" xr:uid="{1D0CA2C3-8CD1-45FC-9F4C-7AB76BEA233F}"/>
    <hyperlink ref="Q23" r:id="rId75" display="20" xr:uid="{9E7D4076-95FB-4122-821F-95E83DADE007}"/>
    <hyperlink ref="Q24" r:id="rId76" display="10" xr:uid="{37D5BB0C-E0E1-4449-A08F-9591663A6D94}"/>
    <hyperlink ref="Q25" r:id="rId77" display="15" xr:uid="{2227391A-2F1E-445F-B66C-A40D54CA726D}"/>
    <hyperlink ref="Q26" r:id="rId78" display="15" xr:uid="{D1F2CD16-BC79-4AA1-8BBE-041BC49F7C55}"/>
    <hyperlink ref="Q27" r:id="rId79" display="10" xr:uid="{6CBB7D12-B6C2-43AD-BBCA-DB7C27A5A847}"/>
    <hyperlink ref="Q28" r:id="rId80" display="20" xr:uid="{42112B0F-5BD6-420B-85D5-9D2E33AC04FF}"/>
    <hyperlink ref="Q29" r:id="rId81" display="30" xr:uid="{D6EBAC2E-0E60-4754-97C7-49F09DEE0E17}"/>
    <hyperlink ref="Q30" r:id="rId82" display="15" xr:uid="{658C7569-6986-4BD2-9E7D-33D9BA48E1E9}"/>
    <hyperlink ref="Q31" r:id="rId83" display="70" xr:uid="{B0412223-4F6C-4E36-9B64-0B77070E7EC1}"/>
    <hyperlink ref="Q32" r:id="rId84" display="50" xr:uid="{92B0B6CE-0EF2-44D8-8BC1-B05EBD0106A2}"/>
    <hyperlink ref="Q33" r:id="rId85" display="90" xr:uid="{C31405C7-2839-402B-899F-48D5ABDA1F68}"/>
    <hyperlink ref="Q34" r:id="rId86" display="20" xr:uid="{F700D4DF-3199-4FA3-A3CF-5835929D2504}"/>
  </hyperlinks>
  <pageMargins left="0.7" right="0.7" top="0.75" bottom="0.75" header="0.3" footer="0.3"/>
  <tableParts count="1">
    <tablePart r:id="rId8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C485E0-5D9E-4B57-92C4-826D19339C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 user</dc:creator>
  <cp:lastModifiedBy>01 user</cp:lastModifiedBy>
  <dcterms:created xsi:type="dcterms:W3CDTF">2026-04-20T01:31:32Z</dcterms:created>
  <dcterms:modified xsi:type="dcterms:W3CDTF">2026-04-20T05:53:55Z</dcterms:modified>
</cp:coreProperties>
</file>